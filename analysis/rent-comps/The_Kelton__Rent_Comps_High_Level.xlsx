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Comps - High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$#,##0"/>
    <numFmt numFmtId="167" formatCode="$#,##0.00"/>
  </numFmts>
  <fonts count="12">
    <font>
      <name val="Calibri"/>
      <family val="2"/>
      <color theme="1"/>
      <sz val="11"/>
      <scheme val="minor"/>
    </font>
    <font>
      <name val="Cambria"/>
      <b val="1"/>
      <color rgb="00FFFFFF"/>
      <sz val="13"/>
    </font>
    <font>
      <name val="Calibri"/>
      <i val="1"/>
      <color rgb="006F6F70"/>
      <sz val="9"/>
    </font>
    <font>
      <name val="Calibri"/>
      <color rgb="00404040"/>
      <sz val="10"/>
    </font>
    <font>
      <name val="Calibri"/>
      <b val="1"/>
      <color rgb="00074070"/>
      <sz val="9"/>
    </font>
    <font>
      <name val="Calibri"/>
      <b val="1"/>
      <color rgb="00074070"/>
      <sz val="9.5"/>
    </font>
    <font>
      <name val="Calibri"/>
      <b val="1"/>
      <color rgb="00074070"/>
      <sz val="10"/>
    </font>
    <font>
      <name val="Calibri"/>
      <b val="1"/>
      <color rgb="001A2B3C"/>
      <sz val="10"/>
    </font>
    <font>
      <name val="Calibri"/>
      <color rgb="00404040"/>
      <sz val="9"/>
    </font>
    <font>
      <name val="Calibri"/>
      <b val="1"/>
      <color rgb="00074070"/>
      <sz val="11"/>
    </font>
    <font>
      <name val="Calibri"/>
      <color rgb="001A2B3C"/>
      <sz val="10"/>
    </font>
    <font>
      <name val="Calibri"/>
      <i val="1"/>
      <color rgb="006F6F70"/>
      <sz val="8"/>
    </font>
  </fonts>
  <fills count="8">
    <fill>
      <patternFill/>
    </fill>
    <fill>
      <patternFill patternType="gray125"/>
    </fill>
    <fill>
      <patternFill patternType="solid">
        <fgColor rgb="00074070"/>
      </patternFill>
    </fill>
    <fill>
      <patternFill patternType="solid">
        <fgColor rgb="00DCE6F1"/>
      </patternFill>
    </fill>
    <fill>
      <patternFill patternType="solid">
        <fgColor rgb="00FFF6E6"/>
      </patternFill>
    </fill>
    <fill>
      <patternFill patternType="solid">
        <fgColor rgb="00EAF1F8"/>
      </patternFill>
    </fill>
    <fill>
      <patternFill patternType="solid">
        <fgColor rgb="00EEEFF2"/>
      </patternFill>
    </fill>
    <fill>
      <patternFill patternType="solid">
        <fgColor rgb="00ECF3EE"/>
      </patternFill>
    </fill>
  </fills>
  <borders count="2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7F7F7F"/>
      </left>
      <right style="thin">
        <color rgb="00D9D9D9"/>
      </right>
      <top style="medium">
        <color rgb="007F7F7F"/>
      </top>
      <bottom style="thin">
        <color rgb="00D9D9D9"/>
      </bottom>
    </border>
    <border>
      <left/>
      <right/>
      <top style="medium">
        <color rgb="007F7F7F"/>
      </top>
      <bottom/>
    </border>
    <border>
      <left/>
      <right style="medium">
        <color rgb="007F7F7F"/>
      </right>
      <top style="medium">
        <color rgb="007F7F7F"/>
      </top>
      <bottom/>
    </border>
    <border>
      <left style="medium">
        <color rgb="007F7F7F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7F7F7F"/>
      </right>
      <top style="thin">
        <color rgb="00D9D9D9"/>
      </top>
      <bottom style="thin">
        <color rgb="00D9D9D9"/>
      </bottom>
    </border>
    <border>
      <left style="medium">
        <color rgb="007F7F7F"/>
      </left>
      <right/>
      <top/>
      <bottom/>
    </border>
    <border>
      <left/>
      <right/>
      <top/>
      <bottom/>
    </border>
    <border>
      <left/>
      <right style="medium">
        <color rgb="007F7F7F"/>
      </right>
      <top/>
      <bottom/>
    </border>
    <border>
      <left style="medium">
        <color rgb="007F7F7F"/>
      </left>
      <right style="thin">
        <color rgb="00D9D9D9"/>
      </right>
      <top style="thin">
        <color rgb="00D9D9D9"/>
      </top>
      <bottom style="medium">
        <color rgb="007F7F7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7F7F7F"/>
      </bottom>
    </border>
    <border>
      <left style="thin">
        <color rgb="00D9D9D9"/>
      </left>
      <right style="medium">
        <color rgb="007F7F7F"/>
      </right>
      <top style="thin">
        <color rgb="00D9D9D9"/>
      </top>
      <bottom style="medium">
        <color rgb="007F7F7F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9AA7B4"/>
      </bottom>
    </border>
    <border>
      <left style="thin">
        <color rgb="00D9D9D9"/>
      </left>
      <right style="thin">
        <color rgb="00D9D9D9"/>
      </right>
      <top/>
      <bottom style="thin">
        <color rgb="009AA7B4"/>
      </bottom>
    </border>
    <border>
      <left style="medium">
        <color rgb="007F7F7F"/>
      </left>
      <right style="thin">
        <color rgb="00D9D9D9"/>
      </right>
      <top style="thin">
        <color rgb="00D9D9D9"/>
      </top>
      <bottom style="thin">
        <color rgb="009AA7B4"/>
      </bottom>
    </border>
    <border>
      <left style="thin">
        <color rgb="00D9D9D9"/>
      </left>
      <right style="medium">
        <color rgb="007F7F7F"/>
      </right>
      <top style="thin">
        <color rgb="00D9D9D9"/>
      </top>
      <bottom style="thin">
        <color rgb="009AA7B4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6" fontId="3" fillId="4" borderId="6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6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left" vertical="center"/>
    </xf>
    <xf numFmtId="0" fontId="0" fillId="0" borderId="17" pivotButton="0" quotePrefix="0" xfId="0"/>
    <xf numFmtId="0" fontId="8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5" fontId="3" fillId="0" borderId="16" applyAlignment="1" pivotButton="0" quotePrefix="0" xfId="0">
      <alignment horizontal="center" vertical="center"/>
    </xf>
    <xf numFmtId="9" fontId="3" fillId="0" borderId="16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3" fontId="3" fillId="0" borderId="16" applyAlignment="1" pivotButton="0" quotePrefix="0" xfId="0">
      <alignment horizontal="center" vertical="center"/>
    </xf>
    <xf numFmtId="166" fontId="3" fillId="0" borderId="19" applyAlignment="1" pivotButton="0" quotePrefix="0" xfId="0">
      <alignment horizontal="center" vertical="center"/>
    </xf>
    <xf numFmtId="3" fontId="6" fillId="0" borderId="16" applyAlignment="1" pivotButton="0" quotePrefix="0" xfId="0">
      <alignment horizontal="center" vertical="center"/>
    </xf>
    <xf numFmtId="166" fontId="6" fillId="0" borderId="16" applyAlignment="1" pivotButton="0" quotePrefix="0" xfId="0">
      <alignment horizontal="center" vertical="center"/>
    </xf>
    <xf numFmtId="167" fontId="6" fillId="0" borderId="16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3" borderId="1" applyAlignment="1" pivotButton="0" quotePrefix="0" xfId="0">
      <alignment horizontal="left" vertical="center"/>
    </xf>
    <xf numFmtId="9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3" fontId="6" fillId="3" borderId="11" applyAlignment="1" pivotButton="0" quotePrefix="0" xfId="0">
      <alignment horizontal="center" vertical="center"/>
    </xf>
    <xf numFmtId="166" fontId="6" fillId="3" borderId="12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xSplit="10" ySplit="5" topLeftCell="K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7" customWidth="1" min="2" max="2"/>
    <col width="17" customWidth="1" min="3" max="3"/>
    <col width="17" customWidth="1" min="4" max="4"/>
    <col width="6" customWidth="1" min="5" max="5"/>
    <col width="6" customWidth="1" min="6" max="6"/>
    <col width="8" customWidth="1" min="7" max="7"/>
    <col width="8" customWidth="1" min="8" max="8"/>
    <col width="7" customWidth="1" min="9" max="9"/>
    <col width="6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</cols>
  <sheetData>
    <row r="1" ht="26" customHeight="1">
      <c r="A1" s="1" t="inlineStr">
        <is>
          <t>THE KELTON  —  RENT COMPS (HIGH LEVEL)   ·   10 comps, HelloData T90-day executed rents</t>
        </is>
      </c>
    </row>
    <row r="2" ht="38" customHeight="1">
      <c r="A2" s="2" t="inlineStr">
        <is>
          <t>Rent (by bedroom) = HelloData T90-day EXECUTED asking (market) rent. SF (by bedroom &amp; total) = CoStar avg SF by unit type (subject SF/counts = rent roll). Comp unit counts = CoStar. Occ % = CoStar occupied; Leased % = HelloData; Conc = 1 − Eff ÷ Gross; PSF = total rent ÷ total SF.</t>
        </is>
      </c>
    </row>
    <row r="4" ht="16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4" t="inlineStr">
        <is>
          <t>Studio</t>
        </is>
      </c>
      <c r="L4" s="5" t="n"/>
      <c r="M4" s="6" t="n"/>
      <c r="N4" s="4" t="inlineStr">
        <is>
          <t>1 BR</t>
        </is>
      </c>
      <c r="O4" s="5" t="n"/>
      <c r="P4" s="6" t="n"/>
      <c r="Q4" s="4" t="inlineStr">
        <is>
          <t>2 BR</t>
        </is>
      </c>
      <c r="R4" s="5" t="n"/>
      <c r="S4" s="6" t="n"/>
      <c r="T4" s="4" t="inlineStr">
        <is>
          <t>3 BR</t>
        </is>
      </c>
      <c r="U4" s="5" t="n"/>
      <c r="V4" s="6" t="n"/>
      <c r="W4" s="7" t="inlineStr">
        <is>
          <t>Total — Gross</t>
        </is>
      </c>
      <c r="AA4" s="7" t="inlineStr">
        <is>
          <t>Total — Effective</t>
        </is>
      </c>
    </row>
    <row r="5" ht="26" customHeight="1">
      <c r="A5" s="8" t="inlineStr">
        <is>
          <t>#</t>
        </is>
      </c>
      <c r="B5" s="8" t="inlineStr">
        <is>
          <t>Property</t>
        </is>
      </c>
      <c r="C5" s="8" t="inlineStr">
        <is>
          <t>Group / Submarket</t>
        </is>
      </c>
      <c r="D5" s="8" t="inlineStr">
        <is>
          <t>Owner</t>
        </is>
      </c>
      <c r="E5" s="8" t="inlineStr">
        <is>
          <t>Yr
Built</t>
        </is>
      </c>
      <c r="F5" s="8" t="inlineStr">
        <is>
          <t>Dist
(mi)</t>
        </is>
      </c>
      <c r="G5" s="8" t="inlineStr">
        <is>
          <t>Occ %
(CoStar)</t>
        </is>
      </c>
      <c r="H5" s="8" t="inlineStr">
        <is>
          <t>Leased %
(HD)</t>
        </is>
      </c>
      <c r="I5" s="8" t="inlineStr">
        <is>
          <t>Conc.
(impl.)</t>
        </is>
      </c>
      <c r="J5" s="8" t="inlineStr">
        <is>
          <t>Units</t>
        </is>
      </c>
      <c r="K5" s="9" t="inlineStr">
        <is>
          <t>#</t>
        </is>
      </c>
      <c r="L5" s="10" t="inlineStr">
        <is>
          <t>SF</t>
        </is>
      </c>
      <c r="M5" s="11" t="inlineStr">
        <is>
          <t>Rent</t>
        </is>
      </c>
      <c r="N5" s="9" t="inlineStr">
        <is>
          <t>#</t>
        </is>
      </c>
      <c r="O5" s="10" t="inlineStr">
        <is>
          <t>SF</t>
        </is>
      </c>
      <c r="P5" s="11" t="inlineStr">
        <is>
          <t>Rent</t>
        </is>
      </c>
      <c r="Q5" s="9" t="inlineStr">
        <is>
          <t>#</t>
        </is>
      </c>
      <c r="R5" s="10" t="inlineStr">
        <is>
          <t>SF</t>
        </is>
      </c>
      <c r="S5" s="11" t="inlineStr">
        <is>
          <t>Rent</t>
        </is>
      </c>
      <c r="T5" s="9" t="inlineStr">
        <is>
          <t>#</t>
        </is>
      </c>
      <c r="U5" s="10" t="inlineStr">
        <is>
          <t>SF</t>
        </is>
      </c>
      <c r="V5" s="11" t="inlineStr">
        <is>
          <t>Rent</t>
        </is>
      </c>
      <c r="W5" s="10" t="inlineStr">
        <is>
          <t>#</t>
        </is>
      </c>
      <c r="X5" s="10" t="inlineStr">
        <is>
          <t>SF</t>
        </is>
      </c>
      <c r="Y5" s="10" t="inlineStr">
        <is>
          <t>Rent</t>
        </is>
      </c>
      <c r="Z5" s="10" t="inlineStr">
        <is>
          <t>PSF</t>
        </is>
      </c>
      <c r="AA5" s="10" t="inlineStr">
        <is>
          <t>Rent</t>
        </is>
      </c>
      <c r="AB5" s="10" t="inlineStr">
        <is>
          <t>PSF</t>
        </is>
      </c>
    </row>
    <row r="6">
      <c r="A6" s="12" t="inlineStr">
        <is>
          <t>S</t>
        </is>
      </c>
      <c r="B6" s="13" t="inlineStr">
        <is>
          <t>The Kelton</t>
        </is>
      </c>
      <c r="C6" s="14" t="inlineStr">
        <is>
          <t>SUBJECT</t>
        </is>
      </c>
      <c r="D6" s="15" t="inlineStr">
        <is>
          <t>Neighborly Ventures</t>
        </is>
      </c>
      <c r="E6" s="16" t="n">
        <v>2022</v>
      </c>
      <c r="F6" s="17" t="n">
        <v>0</v>
      </c>
      <c r="G6" s="18" t="n">
        <v>0.9125</v>
      </c>
      <c r="H6" s="18" t="n">
        <v>0.8852459016393442</v>
      </c>
      <c r="I6" s="19" t="n">
        <v>0.05830721003134798</v>
      </c>
      <c r="J6" s="16" t="n">
        <v>240</v>
      </c>
      <c r="K6" s="20" t="inlineStr"/>
      <c r="L6" s="21" t="n"/>
      <c r="M6" s="22" t="n"/>
      <c r="N6" s="20" t="n">
        <v>84</v>
      </c>
      <c r="O6" s="21" t="n">
        <v>744</v>
      </c>
      <c r="P6" s="22" t="n">
        <v>1432</v>
      </c>
      <c r="Q6" s="20" t="n">
        <v>132</v>
      </c>
      <c r="R6" s="21" t="n">
        <v>1057</v>
      </c>
      <c r="S6" s="22" t="n">
        <v>1639</v>
      </c>
      <c r="T6" s="20" t="n">
        <v>24</v>
      </c>
      <c r="U6" s="21" t="n">
        <v>1311</v>
      </c>
      <c r="V6" s="22" t="n">
        <v>1928</v>
      </c>
      <c r="W6" s="12" t="n">
        <v>240</v>
      </c>
      <c r="X6" s="23" t="n">
        <v>972</v>
      </c>
      <c r="Y6" s="24" t="n">
        <v>1595</v>
      </c>
      <c r="Z6" s="25">
        <f>IF(N(X6)&gt;0,Y6/X6,"")</f>
        <v/>
      </c>
      <c r="AA6" s="24" t="n">
        <v>1502</v>
      </c>
      <c r="AB6" s="25">
        <f>IF(N(X6)&gt;0,AA6/X6,"")</f>
        <v/>
      </c>
    </row>
    <row r="7">
      <c r="K7" s="26" t="n"/>
      <c r="L7" s="27" t="n"/>
      <c r="M7" s="28" t="n"/>
      <c r="N7" s="26" t="n"/>
      <c r="O7" s="27" t="n"/>
      <c r="P7" s="28" t="n"/>
      <c r="Q7" s="26" t="n"/>
      <c r="R7" s="27" t="n"/>
      <c r="S7" s="28" t="n"/>
      <c r="T7" s="26" t="n"/>
      <c r="U7" s="27" t="n"/>
      <c r="V7" s="28" t="n"/>
    </row>
    <row r="8">
      <c r="A8" s="29" t="inlineStr">
        <is>
          <t>Rent Comps</t>
        </is>
      </c>
      <c r="B8" s="30" t="inlineStr"/>
      <c r="C8" s="30" t="inlineStr"/>
      <c r="D8" s="30" t="inlineStr"/>
      <c r="E8" s="30" t="inlineStr"/>
      <c r="F8" s="30" t="inlineStr"/>
      <c r="G8" s="30" t="inlineStr"/>
      <c r="H8" s="30" t="inlineStr"/>
      <c r="I8" s="30" t="inlineStr"/>
      <c r="J8" s="30" t="inlineStr"/>
      <c r="K8" s="31" t="inlineStr"/>
      <c r="L8" s="30" t="inlineStr"/>
      <c r="M8" s="32" t="inlineStr"/>
      <c r="N8" s="31" t="inlineStr"/>
      <c r="O8" s="30" t="inlineStr"/>
      <c r="P8" s="32" t="inlineStr"/>
      <c r="Q8" s="31" t="inlineStr"/>
      <c r="R8" s="30" t="inlineStr"/>
      <c r="S8" s="32" t="inlineStr"/>
      <c r="T8" s="31" t="inlineStr"/>
      <c r="U8" s="30" t="inlineStr"/>
      <c r="V8" s="32" t="inlineStr"/>
      <c r="W8" s="30" t="inlineStr"/>
      <c r="X8" s="30" t="inlineStr"/>
      <c r="Y8" s="30" t="inlineStr"/>
      <c r="Z8" s="30" t="inlineStr"/>
      <c r="AA8" s="30" t="inlineStr"/>
      <c r="AB8" s="30" t="inlineStr"/>
    </row>
    <row r="9">
      <c r="A9" s="33" t="n">
        <v>1</v>
      </c>
      <c r="B9" s="34" t="inlineStr">
        <is>
          <t>The Yard</t>
        </is>
      </c>
      <c r="C9" s="35" t="inlineStr">
        <is>
          <t>American Fork — Adjacent</t>
        </is>
      </c>
      <c r="D9" s="36" t="inlineStr">
        <is>
          <t>Gregory Bird</t>
        </is>
      </c>
      <c r="E9" s="30" t="n">
        <v>2023</v>
      </c>
      <c r="F9" s="37" t="n">
        <v>0.1</v>
      </c>
      <c r="G9" s="38" t="n">
        <v>0.8194</v>
      </c>
      <c r="H9" s="38" t="n">
        <v>0.6764705882352942</v>
      </c>
      <c r="I9" s="39" t="n">
        <v>0</v>
      </c>
      <c r="J9" s="30" t="n">
        <v>216</v>
      </c>
      <c r="K9" s="31" t="inlineStr"/>
      <c r="L9" s="40" t="n"/>
      <c r="M9" s="41" t="n"/>
      <c r="N9" s="31" t="n">
        <v>123</v>
      </c>
      <c r="O9" s="40" t="n">
        <v>789</v>
      </c>
      <c r="P9" s="41" t="n">
        <v>1485</v>
      </c>
      <c r="Q9" s="31" t="n">
        <v>31</v>
      </c>
      <c r="R9" s="40" t="n">
        <v>1022</v>
      </c>
      <c r="S9" s="41" t="n">
        <v>1595</v>
      </c>
      <c r="T9" s="31" t="n">
        <v>62</v>
      </c>
      <c r="U9" s="40" t="n">
        <v>1299</v>
      </c>
      <c r="V9" s="41" t="n">
        <v>1885</v>
      </c>
      <c r="W9" s="33" t="n">
        <v>216</v>
      </c>
      <c r="X9" s="42" t="n">
        <v>969</v>
      </c>
      <c r="Y9" s="43" t="n">
        <v>1616</v>
      </c>
      <c r="Z9" s="44">
        <f>IF(N(X9)&gt;0,Y9/X9,"")</f>
        <v/>
      </c>
      <c r="AA9" s="43" t="n">
        <v>1616</v>
      </c>
      <c r="AB9" s="44">
        <f>IF(N(X9)&gt;0,AA9/X9,"")</f>
        <v/>
      </c>
    </row>
    <row r="10">
      <c r="A10" s="33" t="n">
        <v>2</v>
      </c>
      <c r="B10" s="34" t="inlineStr">
        <is>
          <t>Ember Peaks at American Fork</t>
        </is>
      </c>
      <c r="C10" s="45" t="n"/>
      <c r="D10" s="36" t="inlineStr">
        <is>
          <t>Elysian Living</t>
        </is>
      </c>
      <c r="E10" s="30" t="n">
        <v>2022</v>
      </c>
      <c r="F10" s="37" t="n">
        <v>0.2</v>
      </c>
      <c r="G10" s="38" t="n">
        <v>0.9344</v>
      </c>
      <c r="H10" s="38" t="n">
        <v>0.9724137931034482</v>
      </c>
      <c r="I10" s="39" t="n">
        <v>0.125158831003812</v>
      </c>
      <c r="J10" s="30" t="n">
        <v>320</v>
      </c>
      <c r="K10" s="31" t="inlineStr"/>
      <c r="L10" s="40" t="n"/>
      <c r="M10" s="41" t="n"/>
      <c r="N10" s="31" t="n">
        <v>160</v>
      </c>
      <c r="O10" s="40" t="n">
        <v>782</v>
      </c>
      <c r="P10" s="41" t="n">
        <v>1427</v>
      </c>
      <c r="Q10" s="31" t="n">
        <v>119</v>
      </c>
      <c r="R10" s="40" t="n">
        <v>1042</v>
      </c>
      <c r="S10" s="41" t="n">
        <v>1652</v>
      </c>
      <c r="T10" s="31" t="n">
        <v>41</v>
      </c>
      <c r="U10" s="40" t="n">
        <v>1351</v>
      </c>
      <c r="V10" s="41" t="n">
        <v>1921</v>
      </c>
      <c r="W10" s="33" t="n">
        <v>320</v>
      </c>
      <c r="X10" s="42" t="n">
        <v>951</v>
      </c>
      <c r="Y10" s="43" t="n">
        <v>1574</v>
      </c>
      <c r="Z10" s="44">
        <f>IF(N(X10)&gt;0,Y10/X10,"")</f>
        <v/>
      </c>
      <c r="AA10" s="43" t="n">
        <v>1377</v>
      </c>
      <c r="AB10" s="44">
        <f>IF(N(X10)&gt;0,AA10/X10,"")</f>
        <v/>
      </c>
    </row>
    <row r="11">
      <c r="A11" s="46" t="n">
        <v>3</v>
      </c>
      <c r="B11" s="47" t="inlineStr">
        <is>
          <t>Meadows at American Fork</t>
        </is>
      </c>
      <c r="C11" s="48" t="n"/>
      <c r="D11" s="49" t="inlineStr">
        <is>
          <t>Brad Reynolds Construction</t>
        </is>
      </c>
      <c r="E11" s="50" t="n">
        <v>2019</v>
      </c>
      <c r="F11" s="51" t="n">
        <v>0.4</v>
      </c>
      <c r="G11" s="52" t="n">
        <v>0.9571</v>
      </c>
      <c r="H11" s="52" t="n">
        <v>0.956</v>
      </c>
      <c r="I11" s="53" t="n">
        <v>0.1286880100439423</v>
      </c>
      <c r="J11" s="50" t="n">
        <v>350</v>
      </c>
      <c r="K11" s="54" t="inlineStr"/>
      <c r="L11" s="55" t="n"/>
      <c r="M11" s="56" t="n"/>
      <c r="N11" s="54" t="n">
        <v>72</v>
      </c>
      <c r="O11" s="55" t="n">
        <v>734</v>
      </c>
      <c r="P11" s="56" t="n">
        <v>1366</v>
      </c>
      <c r="Q11" s="54" t="n">
        <v>204</v>
      </c>
      <c r="R11" s="55" t="n">
        <v>981</v>
      </c>
      <c r="S11" s="56" t="n">
        <v>1547</v>
      </c>
      <c r="T11" s="54" t="n">
        <v>74</v>
      </c>
      <c r="U11" s="55" t="n">
        <v>1309</v>
      </c>
      <c r="V11" s="56" t="n">
        <v>1940</v>
      </c>
      <c r="W11" s="46" t="n">
        <v>350</v>
      </c>
      <c r="X11" s="57" t="n">
        <v>999</v>
      </c>
      <c r="Y11" s="58" t="n">
        <v>1593</v>
      </c>
      <c r="Z11" s="59">
        <f>IF(N(X11)&gt;0,Y11/X11,"")</f>
        <v/>
      </c>
      <c r="AA11" s="58" t="n">
        <v>1388</v>
      </c>
      <c r="AB11" s="59">
        <f>IF(N(X11)&gt;0,AA11/X11,"")</f>
        <v/>
      </c>
    </row>
    <row r="12">
      <c r="A12" s="33" t="n">
        <v>4</v>
      </c>
      <c r="B12" s="34" t="inlineStr">
        <is>
          <t>Millpond</t>
        </is>
      </c>
      <c r="C12" s="60" t="inlineStr">
        <is>
          <t>American Fork — North</t>
        </is>
      </c>
      <c r="D12" s="36" t="inlineStr">
        <is>
          <t>Aldon Management</t>
        </is>
      </c>
      <c r="E12" s="30" t="n">
        <v>2020</v>
      </c>
      <c r="F12" s="37" t="n">
        <v>0.5</v>
      </c>
      <c r="G12" s="38" t="n">
        <v>0.9206</v>
      </c>
      <c r="H12" s="38" t="n">
        <v>0.8585858585858586</v>
      </c>
      <c r="I12" s="39" t="n">
        <v>0.1180124223602484</v>
      </c>
      <c r="J12" s="30" t="n">
        <v>214</v>
      </c>
      <c r="K12" s="31" t="inlineStr"/>
      <c r="L12" s="40" t="n"/>
      <c r="M12" s="41" t="n"/>
      <c r="N12" s="31" t="n">
        <v>89</v>
      </c>
      <c r="O12" s="40" t="n">
        <v>881</v>
      </c>
      <c r="P12" s="41" t="n">
        <v>1312</v>
      </c>
      <c r="Q12" s="31" t="n">
        <v>107</v>
      </c>
      <c r="R12" s="40" t="n">
        <v>1220</v>
      </c>
      <c r="S12" s="41" t="n">
        <v>1464</v>
      </c>
      <c r="T12" s="31" t="n">
        <v>18</v>
      </c>
      <c r="U12" s="40" t="n">
        <v>1598</v>
      </c>
      <c r="V12" s="41" t="n">
        <v>2036</v>
      </c>
      <c r="W12" s="33" t="n">
        <v>214</v>
      </c>
      <c r="X12" s="42" t="n">
        <v>1110</v>
      </c>
      <c r="Y12" s="43" t="n">
        <v>1449</v>
      </c>
      <c r="Z12" s="44">
        <f>IF(N(X12)&gt;0,Y12/X12,"")</f>
        <v/>
      </c>
      <c r="AA12" s="43" t="n">
        <v>1278</v>
      </c>
      <c r="AB12" s="44">
        <f>IF(N(X12)&gt;0,AA12/X12,"")</f>
        <v/>
      </c>
    </row>
    <row r="13">
      <c r="A13" s="33" t="n">
        <v>5</v>
      </c>
      <c r="B13" s="34" t="inlineStr">
        <is>
          <t>Alvera at The Meadows</t>
        </is>
      </c>
      <c r="C13" s="45" t="n"/>
      <c r="D13" s="36" t="inlineStr">
        <is>
          <t>Gelt Inc.</t>
        </is>
      </c>
      <c r="E13" s="30" t="n">
        <v>2022</v>
      </c>
      <c r="F13" s="37" t="n">
        <v>0.8</v>
      </c>
      <c r="G13" s="38" t="n">
        <v>0.9718</v>
      </c>
      <c r="H13" s="38" t="n">
        <v>0.8690476190476191</v>
      </c>
      <c r="I13" s="39" t="n">
        <v>0.0186104218362283</v>
      </c>
      <c r="J13" s="30" t="n">
        <v>142</v>
      </c>
      <c r="K13" s="31" t="inlineStr"/>
      <c r="L13" s="40" t="n"/>
      <c r="M13" s="41" t="n"/>
      <c r="N13" s="31" t="n">
        <v>49</v>
      </c>
      <c r="O13" s="40" t="n">
        <v>704</v>
      </c>
      <c r="P13" s="41" t="n">
        <v>1317</v>
      </c>
      <c r="Q13" s="31" t="n">
        <v>69</v>
      </c>
      <c r="R13" s="40" t="n">
        <v>1030</v>
      </c>
      <c r="S13" s="41" t="n">
        <v>1670</v>
      </c>
      <c r="T13" s="31" t="n">
        <v>24</v>
      </c>
      <c r="U13" s="40" t="n">
        <v>1258</v>
      </c>
      <c r="V13" s="41" t="n">
        <v>2050</v>
      </c>
      <c r="W13" s="33" t="n">
        <v>142</v>
      </c>
      <c r="X13" s="42" t="n">
        <v>955</v>
      </c>
      <c r="Y13" s="43" t="n">
        <v>1612</v>
      </c>
      <c r="Z13" s="44">
        <f>IF(N(X13)&gt;0,Y13/X13,"")</f>
        <v/>
      </c>
      <c r="AA13" s="43" t="n">
        <v>1582</v>
      </c>
      <c r="AB13" s="44">
        <f>IF(N(X13)&gt;0,AA13/X13,"")</f>
        <v/>
      </c>
    </row>
    <row r="14">
      <c r="A14" s="46" t="n">
        <v>6</v>
      </c>
      <c r="B14" s="47" t="inlineStr">
        <is>
          <t>Lehi Tech Apartments</t>
        </is>
      </c>
      <c r="C14" s="48" t="n"/>
      <c r="D14" s="49" t="inlineStr">
        <is>
          <t>Lotus</t>
        </is>
      </c>
      <c r="E14" s="50" t="n">
        <v>2020</v>
      </c>
      <c r="F14" s="51" t="n">
        <v>1</v>
      </c>
      <c r="G14" s="52" t="n">
        <v>0.9392</v>
      </c>
      <c r="H14" s="52" t="n">
        <v>0.9601328903654485</v>
      </c>
      <c r="I14" s="53" t="n">
        <v>0.08668076109936573</v>
      </c>
      <c r="J14" s="50" t="n">
        <v>329</v>
      </c>
      <c r="K14" s="54" t="inlineStr"/>
      <c r="L14" s="55" t="n"/>
      <c r="M14" s="56" t="n"/>
      <c r="N14" s="54" t="n">
        <v>147</v>
      </c>
      <c r="O14" s="55" t="n">
        <v>702</v>
      </c>
      <c r="P14" s="56" t="n">
        <v>1285</v>
      </c>
      <c r="Q14" s="54" t="n">
        <v>182</v>
      </c>
      <c r="R14" s="55" t="n">
        <v>1040</v>
      </c>
      <c r="S14" s="56" t="n">
        <v>1527</v>
      </c>
      <c r="T14" s="54" t="inlineStr"/>
      <c r="U14" s="55" t="n"/>
      <c r="V14" s="56" t="n"/>
      <c r="W14" s="46" t="n">
        <v>329</v>
      </c>
      <c r="X14" s="57" t="n">
        <v>889</v>
      </c>
      <c r="Y14" s="58" t="n">
        <v>1419</v>
      </c>
      <c r="Z14" s="59">
        <f>IF(N(X14)&gt;0,Y14/X14,"")</f>
        <v/>
      </c>
      <c r="AA14" s="58" t="n">
        <v>1296</v>
      </c>
      <c r="AB14" s="59">
        <f>IF(N(X14)&gt;0,AA14/X14,"")</f>
        <v/>
      </c>
    </row>
    <row r="15">
      <c r="A15" s="33" t="n">
        <v>7</v>
      </c>
      <c r="B15" s="34" t="inlineStr">
        <is>
          <t>Embold</t>
        </is>
      </c>
      <c r="C15" s="61" t="inlineStr">
        <is>
          <t>Lehi / Traverse Mtn</t>
        </is>
      </c>
      <c r="D15" s="36" t="inlineStr">
        <is>
          <t>Wasatch Group</t>
        </is>
      </c>
      <c r="E15" s="30" t="n">
        <v>2022</v>
      </c>
      <c r="F15" s="37" t="n">
        <v>4.1</v>
      </c>
      <c r="G15" s="38" t="n">
        <v>0.944</v>
      </c>
      <c r="H15" s="38" t="n">
        <v>0.9329896907216495</v>
      </c>
      <c r="I15" s="39" t="n">
        <v>0</v>
      </c>
      <c r="J15" s="30" t="n">
        <v>232</v>
      </c>
      <c r="K15" s="31" t="inlineStr"/>
      <c r="L15" s="40" t="n"/>
      <c r="M15" s="41" t="n"/>
      <c r="N15" s="31" t="n">
        <v>107</v>
      </c>
      <c r="O15" s="40" t="n">
        <v>751</v>
      </c>
      <c r="P15" s="41" t="n">
        <v>1514</v>
      </c>
      <c r="Q15" s="31" t="n">
        <v>113</v>
      </c>
      <c r="R15" s="40" t="n">
        <v>1166</v>
      </c>
      <c r="S15" s="41" t="n">
        <v>1889</v>
      </c>
      <c r="T15" s="31" t="n">
        <v>12</v>
      </c>
      <c r="U15" s="40" t="n">
        <v>1449</v>
      </c>
      <c r="V15" s="41" t="n">
        <v>2423</v>
      </c>
      <c r="W15" s="33" t="n">
        <v>232</v>
      </c>
      <c r="X15" s="42" t="n">
        <v>989</v>
      </c>
      <c r="Y15" s="43" t="n">
        <v>1744</v>
      </c>
      <c r="Z15" s="44">
        <f>IF(N(X15)&gt;0,Y15/X15,"")</f>
        <v/>
      </c>
      <c r="AA15" s="43" t="n">
        <v>1744</v>
      </c>
      <c r="AB15" s="44">
        <f>IF(N(X15)&gt;0,AA15/X15,"")</f>
        <v/>
      </c>
    </row>
    <row r="16">
      <c r="A16" s="33" t="n">
        <v>8</v>
      </c>
      <c r="B16" s="34" t="inlineStr">
        <is>
          <t>The Vue</t>
        </is>
      </c>
      <c r="C16" s="45" t="n"/>
      <c r="D16" s="36" t="inlineStr">
        <is>
          <t>Perry Commercial</t>
        </is>
      </c>
      <c r="E16" s="30" t="n">
        <v>2022</v>
      </c>
      <c r="F16" s="37" t="n">
        <v>4.8</v>
      </c>
      <c r="G16" s="38" t="n">
        <v>0.9286</v>
      </c>
      <c r="H16" s="38" t="n">
        <v>0.9690721649484536</v>
      </c>
      <c r="I16" s="39" t="n">
        <v>0</v>
      </c>
      <c r="J16" s="30" t="n">
        <v>308</v>
      </c>
      <c r="K16" s="31" t="inlineStr"/>
      <c r="L16" s="40" t="n"/>
      <c r="M16" s="41" t="n"/>
      <c r="N16" s="31" t="n">
        <v>154</v>
      </c>
      <c r="O16" s="40" t="n">
        <v>833</v>
      </c>
      <c r="P16" s="41" t="n">
        <v>1670</v>
      </c>
      <c r="Q16" s="31" t="n">
        <v>154</v>
      </c>
      <c r="R16" s="40" t="n">
        <v>1136</v>
      </c>
      <c r="S16" s="41" t="n">
        <v>1964</v>
      </c>
      <c r="T16" s="31" t="inlineStr"/>
      <c r="U16" s="40" t="n"/>
      <c r="V16" s="41" t="n"/>
      <c r="W16" s="33" t="n">
        <v>308</v>
      </c>
      <c r="X16" s="42" t="n">
        <v>984</v>
      </c>
      <c r="Y16" s="43" t="n">
        <v>1817</v>
      </c>
      <c r="Z16" s="44">
        <f>IF(N(X16)&gt;0,Y16/X16,"")</f>
        <v/>
      </c>
      <c r="AA16" s="43" t="n">
        <v>1817</v>
      </c>
      <c r="AB16" s="44">
        <f>IF(N(X16)&gt;0,AA16/X16,"")</f>
        <v/>
      </c>
    </row>
    <row r="17">
      <c r="A17" s="33" t="n">
        <v>9</v>
      </c>
      <c r="B17" s="34" t="inlineStr">
        <is>
          <t>Terra Vista Lehi</t>
        </is>
      </c>
      <c r="C17" s="45" t="n"/>
      <c r="D17" s="36" t="inlineStr">
        <is>
          <t>Riverbend Management</t>
        </is>
      </c>
      <c r="E17" s="30" t="n">
        <v>2024</v>
      </c>
      <c r="F17" s="37" t="n">
        <v>5.2</v>
      </c>
      <c r="G17" s="38" t="n"/>
      <c r="H17" s="38" t="n">
        <v>0.8244514106583072</v>
      </c>
      <c r="I17" s="39" t="n">
        <v>0.1540483701366983</v>
      </c>
      <c r="J17" s="30" t="n">
        <v>317</v>
      </c>
      <c r="K17" s="31" t="inlineStr"/>
      <c r="L17" s="40" t="n"/>
      <c r="M17" s="41" t="n"/>
      <c r="N17" s="31" t="n">
        <v>166</v>
      </c>
      <c r="O17" s="40" t="n">
        <v>764</v>
      </c>
      <c r="P17" s="41" t="n">
        <v>1768</v>
      </c>
      <c r="Q17" s="31" t="n">
        <v>127</v>
      </c>
      <c r="R17" s="40" t="n">
        <v>1036</v>
      </c>
      <c r="S17" s="41" t="n">
        <v>1975</v>
      </c>
      <c r="T17" s="31" t="n">
        <v>24</v>
      </c>
      <c r="U17" s="40" t="n">
        <v>1365</v>
      </c>
      <c r="V17" s="41" t="n">
        <v>2437</v>
      </c>
      <c r="W17" s="33" t="n">
        <v>317</v>
      </c>
      <c r="X17" s="42" t="n">
        <v>918</v>
      </c>
      <c r="Y17" s="43" t="n">
        <v>1902</v>
      </c>
      <c r="Z17" s="44">
        <f>IF(N(X17)&gt;0,Y17/X17,"")</f>
        <v/>
      </c>
      <c r="AA17" s="43" t="n">
        <v>1609</v>
      </c>
      <c r="AB17" s="44">
        <f>IF(N(X17)&gt;0,AA17/X17,"")</f>
        <v/>
      </c>
    </row>
    <row r="18">
      <c r="A18" s="33" t="n">
        <v>10</v>
      </c>
      <c r="B18" s="34" t="inlineStr">
        <is>
          <t>Seasons of Traverse Mountain</t>
        </is>
      </c>
      <c r="C18" s="62" t="n"/>
      <c r="D18" s="36" t="inlineStr">
        <is>
          <t>Paul Willie</t>
        </is>
      </c>
      <c r="E18" s="30" t="n">
        <v>2014</v>
      </c>
      <c r="F18" s="37" t="n">
        <v>5.3</v>
      </c>
      <c r="G18" s="38" t="n"/>
      <c r="H18" s="38" t="n">
        <v>0.9373040752351097</v>
      </c>
      <c r="I18" s="39" t="n">
        <v>0.01786853860880666</v>
      </c>
      <c r="J18" s="30" t="n">
        <v>440</v>
      </c>
      <c r="K18" s="31" t="inlineStr"/>
      <c r="L18" s="40" t="n"/>
      <c r="M18" s="41" t="n"/>
      <c r="N18" s="31" t="n">
        <v>170</v>
      </c>
      <c r="O18" s="40" t="n">
        <v>709</v>
      </c>
      <c r="P18" s="41" t="n">
        <v>1362</v>
      </c>
      <c r="Q18" s="31" t="n">
        <v>220</v>
      </c>
      <c r="R18" s="40" t="n">
        <v>994</v>
      </c>
      <c r="S18" s="41" t="n">
        <v>1639</v>
      </c>
      <c r="T18" s="31" t="n">
        <v>50</v>
      </c>
      <c r="U18" s="40" t="n">
        <v>1185</v>
      </c>
      <c r="V18" s="41" t="n">
        <v>1945</v>
      </c>
      <c r="W18" s="33" t="n">
        <v>440</v>
      </c>
      <c r="X18" s="42" t="n">
        <v>905</v>
      </c>
      <c r="Y18" s="43" t="n">
        <v>1567</v>
      </c>
      <c r="Z18" s="44">
        <f>IF(N(X18)&gt;0,Y18/X18,"")</f>
        <v/>
      </c>
      <c r="AA18" s="43" t="n">
        <v>1539</v>
      </c>
      <c r="AB18" s="44">
        <f>IF(N(X18)&gt;0,AA18/X18,"")</f>
        <v/>
      </c>
    </row>
    <row r="19">
      <c r="A19" s="3" t="inlineStr"/>
      <c r="B19" s="63" t="inlineStr">
        <is>
          <t>Comp Total / Wtd Avg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64">
        <f>IFERROR(1-AA19/Y19,"")</f>
        <v/>
      </c>
      <c r="J19" s="65">
        <f>SUM(J9:J18)</f>
        <v/>
      </c>
      <c r="K19" s="66">
        <f>SUM(K9:K18)</f>
        <v/>
      </c>
      <c r="L19" s="67">
        <f>IFERROR(SUMPRODUCT(L9:L18,K9:K18)/SUMPRODUCT((L9:L18&gt;0)*K9:K18),"")</f>
        <v/>
      </c>
      <c r="M19" s="68">
        <f>IFERROR(SUMPRODUCT(M9:M18,K9:K18)/SUMPRODUCT((M9:M18&gt;0)*K9:K18),"")</f>
        <v/>
      </c>
      <c r="N19" s="66">
        <f>SUM(N9:N18)</f>
        <v/>
      </c>
      <c r="O19" s="67">
        <f>IFERROR(SUMPRODUCT(O9:O18,N9:N18)/SUMPRODUCT((O9:O18&gt;0)*N9:N18),"")</f>
        <v/>
      </c>
      <c r="P19" s="68">
        <f>IFERROR(SUMPRODUCT(P9:P18,N9:N18)/SUMPRODUCT((P9:P18&gt;0)*N9:N18),"")</f>
        <v/>
      </c>
      <c r="Q19" s="66">
        <f>SUM(Q9:Q18)</f>
        <v/>
      </c>
      <c r="R19" s="67">
        <f>IFERROR(SUMPRODUCT(R9:R18,Q9:Q18)/SUMPRODUCT((R9:R18&gt;0)*Q9:Q18),"")</f>
        <v/>
      </c>
      <c r="S19" s="68">
        <f>IFERROR(SUMPRODUCT(S9:S18,Q9:Q18)/SUMPRODUCT((S9:S18&gt;0)*Q9:Q18),"")</f>
        <v/>
      </c>
      <c r="T19" s="66">
        <f>SUM(T9:T18)</f>
        <v/>
      </c>
      <c r="U19" s="67">
        <f>IFERROR(SUMPRODUCT(U9:U18,T9:T18)/SUMPRODUCT((U9:U18&gt;0)*T9:T18),"")</f>
        <v/>
      </c>
      <c r="V19" s="68">
        <f>IFERROR(SUMPRODUCT(V9:V18,T9:T18)/SUMPRODUCT((V9:V18&gt;0)*T9:T18),"")</f>
        <v/>
      </c>
      <c r="W19" s="65">
        <f>SUM(W9:W18)</f>
        <v/>
      </c>
      <c r="X19" s="69">
        <f>IFERROR(SUMPRODUCT(X9:X18,W9:W18)/SUM(W9:W18),"")</f>
        <v/>
      </c>
      <c r="Y19" s="70">
        <f>IFERROR(SUMPRODUCT(Y9:Y18,W9:W18)/SUM(W9:W18),"")</f>
        <v/>
      </c>
      <c r="Z19" s="71">
        <f>IF(N(X19)&gt;0,Y19/X19,"")</f>
        <v/>
      </c>
      <c r="AA19" s="70">
        <f>IFERROR(SUMPRODUCT(AA9:AA18,W9:W18)/SUM(W9:W18),"")</f>
        <v/>
      </c>
      <c r="AB19" s="71">
        <f>IF(N(X19)&gt;0,AA19/X19,"")</f>
        <v/>
      </c>
    </row>
    <row r="21" ht="46" customHeight="1">
      <c r="A21" s="72" t="inlineStr">
        <is>
          <t>Rent &amp; total-PSF columns are color-scaled down each column across the comps (pale red = lower, pale blue = higher; subject = cream, excluded). Rent (by bedroom) = HelloData T90-day executed asking (market) rent on leases off-market 14 Apr–13 Jul 2026; Total–Effective = HelloData effective (net of concessions); Conc = 1 − Eff ÷ Gross. SF (by bedroom &amp; total) = CoStar avg SF by unit type; subject SF/counts = subject rent roll; comp unit counts = CoStar. Occ % = CoStar occupied (1 − vacancy); Leased % = HelloData. Clusters: American Fork — Adjacent (right next to the subject) · American Fork — North · Lehi / Traverse Mountain. The Yard &amp; Terra Vista are in initial lease-up; Terra Vista &amp; Seasons sit ~5 mi north (outside the 5-mi CoStar pull) so identity/SF/counts come from the TMG Seasons model (CoStar-sourced) and they carry no CoStar occupancy (Leased %-HD shown). Seasons is shown apartment-only (440 units); the adjacent Seasons townhomes on its website are excluded. PSF = total rent ÷ total SF.</t>
        </is>
      </c>
    </row>
  </sheetData>
  <mergeCells count="12">
    <mergeCell ref="A21:AB21"/>
    <mergeCell ref="A2:AB2"/>
    <mergeCell ref="C12:C14"/>
    <mergeCell ref="K4:M4"/>
    <mergeCell ref="W4:Z4"/>
    <mergeCell ref="Q4:S4"/>
    <mergeCell ref="T4:V4"/>
    <mergeCell ref="A1:AB1"/>
    <mergeCell ref="C9:C11"/>
    <mergeCell ref="N4:P4"/>
    <mergeCell ref="C15:C18"/>
    <mergeCell ref="AA4:AB4"/>
  </mergeCells>
  <conditionalFormatting sqref="M9:M18">
    <cfRule type="colorScale" priority="1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P9:P18">
    <cfRule type="colorScale" priority="2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S9:S18">
    <cfRule type="colorScale" priority="3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V9:V18">
    <cfRule type="colorScale" priority="4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Y9:Y18">
    <cfRule type="colorScale" priority="5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Z9:Z18">
    <cfRule type="colorScale" priority="6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AA9:AA18">
    <cfRule type="colorScale" priority="7">
      <colorScale>
        <cfvo type="min"/>
        <cfvo type="percentile" val="50"/>
        <cfvo type="max"/>
        <color rgb="00F6C9BE"/>
        <color rgb="00FFFFFF"/>
        <color rgb="00C7DCEF"/>
      </colorScale>
    </cfRule>
  </conditionalFormatting>
  <conditionalFormatting sqref="AB9:AB18">
    <cfRule type="colorScale" priority="8">
      <colorScale>
        <cfvo type="min"/>
        <cfvo type="percentile" val="50"/>
        <cfvo type="max"/>
        <color rgb="00F6C9BE"/>
        <color rgb="00FFFFFF"/>
        <color rgb="00C7DCE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2026-07-13T17:54:53Z</dcterms:created>
  <dcterms:modified xsi:type="dcterms:W3CDTF">2026-07-13T17:54:54Z</dcterms:modified>
</cp:coreProperties>
</file>
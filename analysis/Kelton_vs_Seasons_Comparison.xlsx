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I Bridge" sheetId="2" state="visible" r:id="rId2"/>
    <sheet name="Valuation Bridge" sheetId="3" state="visible" r:id="rId3"/>
    <sheet name="Resident Bundle" sheetId="4" state="visible" r:id="rId4"/>
    <sheet name="Income &amp; Expense Detail" sheetId="5" state="visible" r:id="rId5"/>
    <sheet name="Findings &amp;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#,##0;-#,##0"/>
    <numFmt numFmtId="166" formatCode="+#,##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color rgb="FF595959"/>
      <sz val="9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color rgb="FFFFFFFF"/>
      <sz val="9"/>
    </font>
    <font>
      <name val="Calibri"/>
      <b val="1"/>
      <color rgb="FF000000"/>
      <sz val="9"/>
    </font>
  </fonts>
  <fills count="12">
    <fill>
      <patternFill/>
    </fill>
    <fill>
      <patternFill patternType="gray125"/>
    </fill>
    <fill>
      <patternFill patternType="solid">
        <fgColor rgb="FF153D64"/>
      </patternFill>
    </fill>
    <fill>
      <patternFill patternType="solid">
        <fgColor rgb="FF589BD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6E6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CE4E4"/>
      </patternFill>
    </fill>
    <fill>
      <patternFill patternType="solid">
        <fgColor rgb="FFB4995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4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3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The Kelton vs. Seasons of Traverse Mountain — Deal Comparison</t>
        </is>
      </c>
    </row>
    <row r="2">
      <c r="A2" s="2" t="inlineStr">
        <is>
          <t>Same shop, same market (Utah County). Kelton = 240u, 2022-built, stabilized. Seasons = 440u, older, value-add. Figures from each TMG model. Prepared 2026-07.</t>
        </is>
      </c>
    </row>
    <row r="4">
      <c r="A4" s="3" t="inlineStr">
        <is>
          <t>Metric</t>
        </is>
      </c>
      <c r="B4" s="4" t="inlineStr">
        <is>
          <t>Kelton</t>
        </is>
      </c>
      <c r="C4" s="4" t="inlineStr">
        <is>
          <t>Seasons</t>
        </is>
      </c>
      <c r="D4" s="4" t="inlineStr">
        <is>
          <t>Note</t>
        </is>
      </c>
    </row>
    <row r="5">
      <c r="A5" s="5" t="inlineStr">
        <is>
          <t>Units</t>
        </is>
      </c>
      <c r="B5" s="6" t="n">
        <v>240</v>
      </c>
      <c r="C5" s="6" t="n">
        <v>440</v>
      </c>
      <c r="D5" s="7" t="inlineStr">
        <is>
          <t>Kelton smaller</t>
        </is>
      </c>
    </row>
    <row r="6">
      <c r="A6" s="8" t="inlineStr">
        <is>
          <t>Year built / profile</t>
        </is>
      </c>
      <c r="B6" s="9" t="inlineStr">
        <is>
          <t>2022 · stabilized</t>
        </is>
      </c>
      <c r="C6" s="9" t="inlineStr">
        <is>
          <t>~older · value-add</t>
        </is>
      </c>
      <c r="D6" s="10" t="inlineStr"/>
    </row>
    <row r="7">
      <c r="A7" s="5" t="inlineStr">
        <is>
          <t>Avg unit SF</t>
        </is>
      </c>
      <c r="B7" s="6" t="n">
        <v>973</v>
      </c>
      <c r="C7" s="6" t="n">
        <v>907</v>
      </c>
      <c r="D7" s="7" t="inlineStr">
        <is>
          <t>Kelton bigger units</t>
        </is>
      </c>
    </row>
    <row r="8">
      <c r="A8" s="8" t="inlineStr">
        <is>
          <t>Purchase price</t>
        </is>
      </c>
      <c r="B8" s="11" t="n">
        <v>55000000</v>
      </c>
      <c r="C8" s="11" t="n">
        <v>130250000</v>
      </c>
      <c r="D8" s="10" t="inlineStr"/>
    </row>
    <row r="9">
      <c r="A9" s="12" t="inlineStr">
        <is>
          <t>Price / unit</t>
        </is>
      </c>
      <c r="B9" s="13" t="n">
        <v>229167</v>
      </c>
      <c r="C9" s="13" t="n">
        <v>296023</v>
      </c>
      <c r="D9" s="14" t="inlineStr">
        <is>
          <t>Kelton ~$67k/u cheaper</t>
        </is>
      </c>
    </row>
    <row r="10">
      <c r="A10" s="8" t="inlineStr">
        <is>
          <t>Price / SF</t>
        </is>
      </c>
      <c r="B10" s="15" t="n">
        <v>235.6</v>
      </c>
      <c r="C10" s="15" t="n">
        <v>326.4</v>
      </c>
      <c r="D10" s="10" t="inlineStr"/>
    </row>
    <row r="11">
      <c r="A11" s="5" t="inlineStr">
        <is>
          <t>Y1 market rent / unit / mo</t>
        </is>
      </c>
      <c r="B11" s="6" t="n">
        <v>1465</v>
      </c>
      <c r="C11" s="6" t="n">
        <v>1473</v>
      </c>
      <c r="D11" s="7" t="inlineStr">
        <is>
          <t>Essentially identical</t>
        </is>
      </c>
    </row>
    <row r="12">
      <c r="A12" s="8" t="inlineStr">
        <is>
          <t>Y1 NOI</t>
        </is>
      </c>
      <c r="B12" s="11" t="n">
        <v>2764513</v>
      </c>
      <c r="C12" s="11" t="n">
        <v>6124155</v>
      </c>
      <c r="D12" s="10" t="inlineStr"/>
    </row>
    <row r="13">
      <c r="A13" s="12" t="inlineStr">
        <is>
          <t>Y1 NOI / unit</t>
        </is>
      </c>
      <c r="B13" s="13" t="n">
        <v>11519</v>
      </c>
      <c r="C13" s="13" t="n">
        <v>13919</v>
      </c>
      <c r="D13" s="14" t="inlineStr">
        <is>
          <t>Seasons +$2,400/u</t>
        </is>
      </c>
    </row>
    <row r="14">
      <c r="A14" s="8" t="inlineStr">
        <is>
          <t>Y1 NOI margin</t>
        </is>
      </c>
      <c r="B14" s="16" t="n">
        <v>0.587</v>
      </c>
      <c r="C14" s="16" t="n">
        <v>0.676</v>
      </c>
      <c r="D14" s="10" t="inlineStr">
        <is>
          <t>Kelton opex heavier (see detail)</t>
        </is>
      </c>
    </row>
    <row r="15">
      <c r="A15" s="12" t="inlineStr">
        <is>
          <t>Y1 cap rate (going-in yield)</t>
        </is>
      </c>
      <c r="B15" s="17" t="n">
        <v>0.0492</v>
      </c>
      <c r="C15" s="17" t="n">
        <v>0.0462</v>
      </c>
      <c r="D15" s="14" t="inlineStr">
        <is>
          <t>Kelton higher entry yield</t>
        </is>
      </c>
    </row>
    <row r="16">
      <c r="A16" s="8" t="inlineStr">
        <is>
          <t>Exit cap rate</t>
        </is>
      </c>
      <c r="B16" s="18" t="n">
        <v>0.0475</v>
      </c>
      <c r="C16" s="18" t="n">
        <v>0.0475</v>
      </c>
      <c r="D16" s="10" t="inlineStr">
        <is>
          <t>same</t>
        </is>
      </c>
    </row>
    <row r="17">
      <c r="A17" s="5" t="inlineStr">
        <is>
          <t>Hold (yrs)</t>
        </is>
      </c>
      <c r="B17" s="6" t="n">
        <v>5</v>
      </c>
      <c r="C17" s="6" t="n">
        <v>5</v>
      </c>
      <c r="D17" s="7" t="inlineStr"/>
    </row>
    <row r="18">
      <c r="A18" s="8" t="inlineStr">
        <is>
          <t>Total capex over hold</t>
        </is>
      </c>
      <c r="B18" s="11" t="n">
        <v>1814192</v>
      </c>
      <c r="C18" s="11" t="n">
        <v>9695474</v>
      </c>
      <c r="D18" s="10" t="inlineStr"/>
    </row>
    <row r="19">
      <c r="A19" s="5" t="inlineStr">
        <is>
          <t>Capex / unit</t>
        </is>
      </c>
      <c r="B19" s="6" t="n">
        <v>7557</v>
      </c>
      <c r="C19" s="6" t="n">
        <v>22035</v>
      </c>
      <c r="D19" s="7" t="inlineStr">
        <is>
          <t>Seasons heavy value-add</t>
        </is>
      </c>
    </row>
    <row r="20">
      <c r="A20" s="8" t="inlineStr">
        <is>
          <t xml:space="preserve">  of which value-add reno / unit</t>
        </is>
      </c>
      <c r="B20" s="11" t="n">
        <v>0</v>
      </c>
      <c r="C20" s="11" t="n">
        <v>11068</v>
      </c>
      <c r="D20" s="10" t="inlineStr">
        <is>
          <t>Seasons reno program</t>
        </is>
      </c>
    </row>
    <row r="21">
      <c r="A21" s="5" t="inlineStr">
        <is>
          <t>Y1–Y6 NOI CAGR</t>
        </is>
      </c>
      <c r="B21" s="19" t="n">
        <v>0.0319</v>
      </c>
      <c r="C21" s="19" t="n">
        <v>0.053</v>
      </c>
      <c r="D21" s="7" t="inlineStr">
        <is>
          <t>Seasons much higher growth</t>
        </is>
      </c>
    </row>
    <row r="22">
      <c r="A22" s="8" t="inlineStr">
        <is>
          <t>Rent/occ-unit growth Y1→Y5</t>
        </is>
      </c>
      <c r="B22" s="16" t="n">
        <v>0.135</v>
      </c>
      <c r="C22" s="16" t="n">
        <v>0.235</v>
      </c>
      <c r="D22" s="10" t="inlineStr">
        <is>
          <t>Seasons value-add lift</t>
        </is>
      </c>
    </row>
    <row r="23">
      <c r="A23" s="5" t="inlineStr">
        <is>
          <t>Exit price / unit</t>
        </is>
      </c>
      <c r="B23" s="6" t="n">
        <v>281179</v>
      </c>
      <c r="C23" s="6" t="n">
        <v>369967</v>
      </c>
      <c r="D23" s="7" t="inlineStr"/>
    </row>
    <row r="24">
      <c r="A24" s="12" t="inlineStr">
        <is>
          <t>UNLEVERED IRR</t>
        </is>
      </c>
      <c r="B24" s="17" t="n">
        <v>0.0824</v>
      </c>
      <c r="C24" s="17" t="n">
        <v>0.07729999999999999</v>
      </c>
      <c r="D24" s="14" t="inlineStr">
        <is>
          <t>Kelton +51 bps</t>
        </is>
      </c>
    </row>
    <row r="25">
      <c r="A25" s="12" t="inlineStr">
        <is>
          <t>Levered IRR</t>
        </is>
      </c>
      <c r="B25" s="17" t="n">
        <v>0.1105</v>
      </c>
      <c r="C25" s="17" t="n">
        <v>0.1291</v>
      </c>
      <c r="D25" s="14" t="inlineStr">
        <is>
          <t>Seasons wins levered</t>
        </is>
      </c>
    </row>
    <row r="27">
      <c r="A27" s="20" t="inlineStr">
        <is>
          <t>Bottom line</t>
        </is>
      </c>
    </row>
    <row r="28" ht="28" customHeight="1">
      <c r="A28" s="21" t="inlineStr">
        <is>
          <t>• Two assets at essentially the SAME rents ($1,465 vs $1,473/u) and the same market. The differences are NOT rent or unit size (Kelton is bigger).</t>
        </is>
      </c>
    </row>
    <row r="29" ht="28" customHeight="1">
      <c r="A29" s="21" t="inlineStr">
        <is>
          <t>• Kelton = cheaper basis, higher going-in yield, light capex → wins UNLEVERED (8.24% vs 7.73%). Seasons = reno-driven growth + more leverage → wins LEVERED (12.91% vs 11.05%).</t>
        </is>
      </c>
    </row>
    <row r="30" ht="28" customHeight="1">
      <c r="A30" s="21" t="inlineStr">
        <is>
          <t>• Seasons' higher NOI/unit is ~half a higher-margin resident bundle + fee monetization, ~half Kelton-side expense noise (a probable $111k G&amp;A misclassification + turnover classification).</t>
        </is>
      </c>
    </row>
    <row r="31" ht="28" customHeight="1">
      <c r="A31" s="21" t="inlineStr">
        <is>
          <t>• Kelton's tax line is aggressive (reassessed DOWN to the $55M price; residual under-taxed). See 'Findings &amp; Flags'.</t>
        </is>
      </c>
    </row>
  </sheetData>
  <mergeCells count="7">
    <mergeCell ref="A30:H30"/>
    <mergeCell ref="A29:H29"/>
    <mergeCell ref="A2:H2"/>
    <mergeCell ref="A28:H28"/>
    <mergeCell ref="A1:H1"/>
    <mergeCell ref="A27:H2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8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Year-1 NOI / Unit Bridge  —  Kelton $11,519  →  Seasons $13,919  (+$2,400/u)</t>
        </is>
      </c>
    </row>
    <row r="2">
      <c r="A2" s="2" t="inlineStr">
        <is>
          <t>Grouped so the resident-bundle margin and fee income are isolated. Signed as contribution to Seasons' NOI/unit advantage (+ widens Seasons' lead). Ties to $2,400.</t>
        </is>
      </c>
    </row>
    <row r="4">
      <c r="A4" s="3" t="inlineStr">
        <is>
          <t>Bridge step</t>
        </is>
      </c>
      <c r="B4" s="4" t="inlineStr">
        <is>
          <t>$ / unit</t>
        </is>
      </c>
      <c r="C4" s="4" t="inlineStr">
        <is>
          <t>Running</t>
        </is>
      </c>
      <c r="D4" s="3" t="inlineStr">
        <is>
          <t>What it is</t>
        </is>
      </c>
    </row>
    <row r="5" ht="30" customHeight="1">
      <c r="A5" s="22" t="inlineStr">
        <is>
          <t>Kelton Yr-1 NOI / unit</t>
        </is>
      </c>
      <c r="B5" s="23" t="n"/>
      <c r="C5" s="24" t="n">
        <v>11519</v>
      </c>
      <c r="D5" s="25" t="inlineStr">
        <is>
          <t>Going-in NOI per door</t>
        </is>
      </c>
    </row>
    <row r="6" ht="30" customHeight="1">
      <c r="A6" s="8" t="inlineStr">
        <is>
          <t>+ Resident bundle — net margin</t>
        </is>
      </c>
      <c r="B6" s="26" t="n">
        <v>592</v>
      </c>
      <c r="C6" s="11" t="n">
        <v>12111</v>
      </c>
      <c r="D6" s="27" t="inlineStr">
        <is>
          <t>Seasons' internet-only bundle nets ~$1,019/u vs Kelton's TV+phone bundle ~$427/u (both charge residents ~$100/mo)</t>
        </is>
      </c>
    </row>
    <row r="7" ht="30" customHeight="1">
      <c r="A7" s="5" t="inlineStr">
        <is>
          <t>+ Other fee income</t>
        </is>
      </c>
      <c r="B7" s="26" t="n">
        <v>462</v>
      </c>
      <c r="C7" s="6" t="n">
        <v>12573</v>
      </c>
      <c r="D7" s="28" t="inlineStr">
        <is>
          <t>Seasons' broader fee stack (lease buyout, initiation, renters-liability, short-term, credit-report…) ex the bundle</t>
        </is>
      </c>
    </row>
    <row r="8" ht="30" customHeight="1">
      <c r="A8" s="8" t="inlineStr">
        <is>
          <t>+ Parking/storage, net of RUBS</t>
        </is>
      </c>
      <c r="B8" s="26" t="n">
        <v>203</v>
      </c>
      <c r="C8" s="11" t="n">
        <v>12776</v>
      </c>
      <c r="D8" s="27" t="inlineStr">
        <is>
          <t>Seasons storage/garage +$525/u; less Kelton's higher RUBS recovery −$322/u</t>
        </is>
      </c>
    </row>
    <row r="9" ht="30" customHeight="1">
      <c r="A9" s="5" t="inlineStr">
        <is>
          <t>+ Rent kept (concessions/GTL)</t>
        </is>
      </c>
      <c r="B9" s="26" t="n">
        <v>320</v>
      </c>
      <c r="C9" s="6" t="n">
        <v>13096</v>
      </c>
      <c r="D9" s="28" t="inlineStr">
        <is>
          <t>Kelton runs heavier concessions; small loss-to-lease/vacancy items</t>
        </is>
      </c>
    </row>
    <row r="10" ht="30" customHeight="1">
      <c r="A10" s="8" t="inlineStr">
        <is>
          <t>+ Operating expenses (ex-bundle)</t>
        </is>
      </c>
      <c r="B10" s="26" t="n">
        <v>804</v>
      </c>
      <c r="C10" s="11" t="n">
        <v>13900</v>
      </c>
      <c r="D10" s="27" t="inlineStr">
        <is>
          <t>Kelton spends more per door: payroll, marketing, G&amp;A, turnover, contracts, core utilities; net of Seasons' higher mgmt fee</t>
        </is>
      </c>
    </row>
    <row r="11" ht="30" customHeight="1">
      <c r="A11" s="5" t="inlineStr">
        <is>
          <t>+ Insurance &amp; taxes</t>
        </is>
      </c>
      <c r="B11" s="26" t="n">
        <v>20</v>
      </c>
      <c r="C11" s="6" t="n">
        <v>13920</v>
      </c>
      <c r="D11" s="28" t="inlineStr">
        <is>
          <t>≈ wash (RE tax ~$1,150/u both — same county)</t>
        </is>
      </c>
    </row>
    <row r="12" ht="30" customHeight="1">
      <c r="A12" s="22" t="inlineStr">
        <is>
          <t>Seasons Yr-1 NOI / unit</t>
        </is>
      </c>
      <c r="B12" s="23" t="n"/>
      <c r="C12" s="24" t="n">
        <v>13920</v>
      </c>
      <c r="D12" s="25" t="inlineStr">
        <is>
          <t>Going-in NOI per door</t>
        </is>
      </c>
    </row>
    <row r="14">
      <c r="A14" s="20" t="inlineStr">
        <is>
          <t>Full line-item detail (Yr-1, $/unit — signed to Seasons advantage)</t>
        </is>
      </c>
    </row>
    <row r="15">
      <c r="A15" s="29" t="inlineStr">
        <is>
          <t>Line</t>
        </is>
      </c>
      <c r="B15" s="30" t="inlineStr">
        <is>
          <t>Kelton/u</t>
        </is>
      </c>
      <c r="C15" s="30" t="inlineStr">
        <is>
          <t>Seasons/u</t>
        </is>
      </c>
      <c r="D15" s="30" t="inlineStr">
        <is>
          <t>Δ to Seasons NOI/u</t>
        </is>
      </c>
    </row>
    <row r="16">
      <c r="A16" s="31" t="inlineStr">
        <is>
          <t>Market Rent (GPR)</t>
        </is>
      </c>
      <c r="B16" s="32" t="n">
        <v>17579</v>
      </c>
      <c r="C16" s="32" t="n">
        <v>17674</v>
      </c>
      <c r="D16" s="33" t="n">
        <v>95</v>
      </c>
    </row>
    <row r="17">
      <c r="A17" s="34" t="inlineStr">
        <is>
          <t>(LTL)/GTL</t>
        </is>
      </c>
      <c r="B17" s="35" t="n">
        <v>167</v>
      </c>
      <c r="C17" s="35" t="n">
        <v>-2</v>
      </c>
      <c r="D17" s="36" t="n">
        <v>-169</v>
      </c>
    </row>
    <row r="18">
      <c r="A18" s="31" t="inlineStr">
        <is>
          <t>Vacancy</t>
        </is>
      </c>
      <c r="B18" s="32" t="n">
        <v>-1065</v>
      </c>
      <c r="C18" s="32" t="n">
        <v>-1060</v>
      </c>
      <c r="D18" s="33" t="n">
        <v>4</v>
      </c>
    </row>
    <row r="19">
      <c r="A19" s="34" t="inlineStr">
        <is>
          <t>Model Units</t>
        </is>
      </c>
      <c r="B19" s="35" t="n">
        <v>-74</v>
      </c>
      <c r="C19" s="35" t="n">
        <v>-40</v>
      </c>
      <c r="D19" s="33" t="n">
        <v>34</v>
      </c>
    </row>
    <row r="20">
      <c r="A20" s="31" t="inlineStr">
        <is>
          <t>Concessions</t>
        </is>
      </c>
      <c r="B20" s="32" t="n">
        <v>-621</v>
      </c>
      <c r="C20" s="32" t="n">
        <v>-265</v>
      </c>
      <c r="D20" s="33" t="n">
        <v>356</v>
      </c>
    </row>
    <row r="21">
      <c r="A21" s="34" t="inlineStr">
        <is>
          <t>Other Income (misc, incl. Seasons concierge)</t>
        </is>
      </c>
      <c r="B21" s="35" t="n">
        <v>664</v>
      </c>
      <c r="C21" s="35" t="n">
        <v>2338</v>
      </c>
      <c r="D21" s="33" t="n">
        <v>1675</v>
      </c>
    </row>
    <row r="22">
      <c r="A22" s="31" t="inlineStr">
        <is>
          <t>RUBS</t>
        </is>
      </c>
      <c r="B22" s="32" t="n">
        <v>1410</v>
      </c>
      <c r="C22" s="32" t="n">
        <v>1088</v>
      </c>
      <c r="D22" s="36" t="n">
        <v>-322</v>
      </c>
    </row>
    <row r="23">
      <c r="A23" s="34" t="inlineStr">
        <is>
          <t>Parking / storage</t>
        </is>
      </c>
      <c r="B23" s="35" t="n">
        <v>417</v>
      </c>
      <c r="C23" s="35" t="n">
        <v>942</v>
      </c>
      <c r="D23" s="33" t="n">
        <v>525</v>
      </c>
    </row>
    <row r="24">
      <c r="A24" s="31" t="inlineStr">
        <is>
          <t>Revenue Share (Kelton cable bundle)</t>
        </is>
      </c>
      <c r="B24" s="32" t="n">
        <v>1222</v>
      </c>
      <c r="C24" s="32" t="n">
        <v>0</v>
      </c>
      <c r="D24" s="36" t="n">
        <v>-1222</v>
      </c>
    </row>
    <row r="25">
      <c r="A25" s="34" t="inlineStr">
        <is>
          <t>Payroll</t>
        </is>
      </c>
      <c r="B25" s="35" t="n">
        <v>1915</v>
      </c>
      <c r="C25" s="35" t="n">
        <v>1789</v>
      </c>
      <c r="D25" s="33" t="n">
        <v>127</v>
      </c>
    </row>
    <row r="26">
      <c r="A26" s="31" t="inlineStr">
        <is>
          <t>Advertising</t>
        </is>
      </c>
      <c r="B26" s="32" t="n">
        <v>367</v>
      </c>
      <c r="C26" s="32" t="n">
        <v>250</v>
      </c>
      <c r="D26" s="33" t="n">
        <v>117</v>
      </c>
    </row>
    <row r="27">
      <c r="A27" s="34" t="inlineStr">
        <is>
          <t>General &amp; Admin</t>
        </is>
      </c>
      <c r="B27" s="35" t="n">
        <v>450</v>
      </c>
      <c r="C27" s="35" t="n">
        <v>327</v>
      </c>
      <c r="D27" s="33" t="n">
        <v>123</v>
      </c>
    </row>
    <row r="28">
      <c r="A28" s="31" t="inlineStr">
        <is>
          <t>Turnover</t>
        </is>
      </c>
      <c r="B28" s="32" t="n">
        <v>200</v>
      </c>
      <c r="C28" s="32" t="n">
        <v>150</v>
      </c>
      <c r="D28" s="33" t="n">
        <v>50</v>
      </c>
    </row>
    <row r="29">
      <c r="A29" s="34" t="inlineStr">
        <is>
          <t>Repairs &amp; Maintenance</t>
        </is>
      </c>
      <c r="B29" s="35" t="n">
        <v>225</v>
      </c>
      <c r="C29" s="35" t="n">
        <v>197</v>
      </c>
      <c r="D29" s="33" t="n">
        <v>28</v>
      </c>
    </row>
    <row r="30">
      <c r="A30" s="31" t="inlineStr">
        <is>
          <t>Contracts</t>
        </is>
      </c>
      <c r="B30" s="32" t="n">
        <v>659</v>
      </c>
      <c r="C30" s="32" t="n">
        <v>535</v>
      </c>
      <c r="D30" s="33" t="n">
        <v>124</v>
      </c>
    </row>
    <row r="31">
      <c r="A31" s="34" t="inlineStr">
        <is>
          <t>Utilities (incl. media/internet cost)</t>
        </is>
      </c>
      <c r="B31" s="35" t="n">
        <v>2113</v>
      </c>
      <c r="C31" s="35" t="n">
        <v>1252</v>
      </c>
      <c r="D31" s="33" t="n">
        <v>861</v>
      </c>
    </row>
    <row r="32">
      <c r="A32" s="31" t="inlineStr">
        <is>
          <t>Management Fee</t>
        </is>
      </c>
      <c r="B32" s="32" t="n">
        <v>490</v>
      </c>
      <c r="C32" s="32" t="n">
        <v>515</v>
      </c>
      <c r="D32" s="36" t="n">
        <v>-24</v>
      </c>
    </row>
    <row r="33">
      <c r="A33" s="34" t="inlineStr">
        <is>
          <t>Insurance</t>
        </is>
      </c>
      <c r="B33" s="35" t="n">
        <v>527</v>
      </c>
      <c r="C33" s="35" t="n">
        <v>500</v>
      </c>
      <c r="D33" s="33" t="n">
        <v>27</v>
      </c>
    </row>
    <row r="34">
      <c r="A34" s="31" t="inlineStr">
        <is>
          <t>Real Estate Taxes</t>
        </is>
      </c>
      <c r="B34" s="32" t="n">
        <v>1146</v>
      </c>
      <c r="C34" s="32" t="n">
        <v>1153</v>
      </c>
      <c r="D34" s="36" t="n">
        <v>-7</v>
      </c>
    </row>
    <row r="35">
      <c r="A35" s="37" t="inlineStr">
        <is>
          <t>NOI / unit</t>
        </is>
      </c>
      <c r="B35" s="38" t="n">
        <v>11519</v>
      </c>
      <c r="C35" s="38" t="n">
        <v>13919</v>
      </c>
      <c r="D35" s="39" t="n">
        <v>2400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6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Price / Unit Bridge  —  Kelton $229,167  →  Seasons $296,023  (+$66,856/u)</t>
        </is>
      </c>
    </row>
    <row r="2">
      <c r="A2" s="2" t="inlineStr">
        <is>
          <t>Price/unit = NOI/unit × NOI multiple. Decomposed into the NOI/unit gap (from the NOI Bridge tab) and the pricing-multiple gap (Seasons' richer cap for its reno upside).</t>
        </is>
      </c>
    </row>
    <row r="4">
      <c r="A4" s="3" t="inlineStr">
        <is>
          <t>Component</t>
        </is>
      </c>
      <c r="B4" s="4" t="inlineStr">
        <is>
          <t>$ / unit</t>
        </is>
      </c>
      <c r="C4" s="4" t="inlineStr">
        <is>
          <t>% of gap</t>
        </is>
      </c>
      <c r="D4" s="3" t="inlineStr">
        <is>
          <t>Driver</t>
        </is>
      </c>
    </row>
    <row r="5" ht="34" customHeight="1">
      <c r="A5" s="22" t="inlineStr">
        <is>
          <t>Kelton price / unit</t>
        </is>
      </c>
      <c r="B5" s="24" t="n">
        <v>229167</v>
      </c>
      <c r="C5" s="23" t="n"/>
      <c r="D5" s="25">
        <f> $11,519 NOI/u × 19.9x  (5.03% going-in cap)</f>
        <v/>
      </c>
    </row>
    <row r="6" ht="34" customHeight="1">
      <c r="A6" s="8" t="inlineStr">
        <is>
          <t>+ Higher NOI / unit (+$2,400)</t>
        </is>
      </c>
      <c r="B6" s="40" t="n">
        <v>47760</v>
      </c>
      <c r="C6" s="16" t="n">
        <v>0.714</v>
      </c>
      <c r="D6" s="27" t="inlineStr">
        <is>
          <t>Seasons earns $2,400/u more NOI — see NOI Bridge (bundle margin, fees, Kelton opex). Valued at Kelton's 19.9x multiple.</t>
        </is>
      </c>
    </row>
    <row r="7" ht="34" customHeight="1">
      <c r="A7" s="5" t="inlineStr">
        <is>
          <t>+ Richer pricing multiple</t>
        </is>
      </c>
      <c r="B7" s="40" t="n">
        <v>19069</v>
      </c>
      <c r="C7" s="19" t="n">
        <v>0.286</v>
      </c>
      <c r="D7" s="28" t="inlineStr">
        <is>
          <t>Seasons bid at 21.3x (4.70% cap) vs Kelton 19.9x (5.03%) — a lower cap for its value-add / reno upside.</t>
        </is>
      </c>
    </row>
    <row r="8" ht="34" customHeight="1">
      <c r="A8" s="22" t="inlineStr">
        <is>
          <t>Seasons price / unit</t>
        </is>
      </c>
      <c r="B8" s="24" t="n">
        <v>295996</v>
      </c>
      <c r="C8" s="23" t="n"/>
      <c r="D8" s="25">
        <f> $13,919 NOI/u × 21.3x  (4.70% going-in cap)</f>
        <v/>
      </c>
    </row>
    <row r="11">
      <c r="A11" s="20" t="inlineStr">
        <is>
          <t>Read</t>
        </is>
      </c>
    </row>
    <row r="12" ht="26" customHeight="1">
      <c r="A12" s="21" t="inlineStr">
        <is>
          <t>• ~71% of the per-door gap is Seasons' higher NOI/unit; ~29% is the richer multiple it's bid at.</t>
        </is>
      </c>
    </row>
    <row r="13" ht="26" customHeight="1">
      <c r="A13" s="21" t="inlineStr">
        <is>
          <t>• The NOI/unit piece is NOT rent (rents are equal). It is the resident-bundle margin + fee income + Kelton's heavier (partly misclassified) opex — see the NOI Bridge and Income &amp; Expense Detail tabs.</t>
        </is>
      </c>
    </row>
    <row r="14" ht="26" customHeight="1">
      <c r="A14" s="21" t="inlineStr">
        <is>
          <t>• Kelton is not lower quality — it's a cheaper basis with less assumed upside, which is exactly why it wins on unlevered IRR.</t>
        </is>
      </c>
    </row>
  </sheetData>
  <mergeCells count="6">
    <mergeCell ref="A12:H12"/>
    <mergeCell ref="A2:H2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Resident Media / Services Bundle — the margin difference</t>
        </is>
      </c>
    </row>
    <row r="2">
      <c r="A2" s="2" t="inlineStr">
        <is>
          <t>Both properties charge residents ~$100/mo for a bundle. The property's COST differs 4x, so the margin differs sharply. T12 basis.</t>
        </is>
      </c>
    </row>
    <row r="4">
      <c r="A4" s="3" t="inlineStr"/>
      <c r="B4" s="4" t="inlineStr">
        <is>
          <t>Kelton (TV+Internet+Phone)</t>
        </is>
      </c>
      <c r="C4" s="4" t="inlineStr">
        <is>
          <t>Seasons (Internet-only 'Concierge')</t>
        </is>
      </c>
    </row>
    <row r="5">
      <c r="A5" s="5" t="inlineStr">
        <is>
          <t>Resident charge ($/unit/mo)</t>
        </is>
      </c>
      <c r="B5" s="41" t="n">
        <v>100.84</v>
      </c>
      <c r="C5" s="41" t="n">
        <v>97.51000000000001</v>
      </c>
    </row>
    <row r="6">
      <c r="A6" s="8" t="inlineStr">
        <is>
          <t>Property cost ($/unit/mo)</t>
        </is>
      </c>
      <c r="B6" s="15" t="n">
        <v>64.31</v>
      </c>
      <c r="C6" s="15" t="n">
        <v>15.65</v>
      </c>
    </row>
    <row r="7">
      <c r="A7" s="42" t="inlineStr">
        <is>
          <t>Net margin ($/unit/mo)</t>
        </is>
      </c>
      <c r="B7" s="43" t="n">
        <v>36.54</v>
      </c>
      <c r="C7" s="43" t="n">
        <v>81.86</v>
      </c>
    </row>
    <row r="8">
      <c r="A8" s="42" t="inlineStr">
        <is>
          <t>Net margin ($/unit/yr)</t>
        </is>
      </c>
      <c r="B8" s="44" t="n">
        <v>438</v>
      </c>
      <c r="C8" s="44" t="n">
        <v>982</v>
      </c>
    </row>
    <row r="9">
      <c r="A9" s="5" t="inlineStr">
        <is>
          <t>— GL revenue line (T12)</t>
        </is>
      </c>
      <c r="B9" s="45" t="inlineStr">
        <is>
          <t>42190 TVCABLE $290,428</t>
        </is>
      </c>
      <c r="C9" s="45" t="inlineStr">
        <is>
          <t>Concierge Package $514,872</t>
        </is>
      </c>
    </row>
    <row r="10">
      <c r="A10" s="8" t="inlineStr">
        <is>
          <t>— GL cost line (T12)</t>
        </is>
      </c>
      <c r="B10" s="9" t="inlineStr">
        <is>
          <t>67100 TV/Int/Phone $185,201</t>
        </is>
      </c>
      <c r="C10" s="9" t="inlineStr">
        <is>
          <t>Internet Expense $82,625</t>
        </is>
      </c>
    </row>
    <row r="12">
      <c r="A12" s="20" t="inlineStr">
        <is>
          <t>Why &amp; the opportunity</t>
        </is>
      </c>
    </row>
    <row r="13" ht="30" customHeight="1">
      <c r="A13" s="21" t="inlineStr">
        <is>
          <t>• Same ~$100/mo charge, but Kelton buys a full bulk cable-TV + phone package (content is the expensive part, ~$64/mo), while Seasons bundles internet-only (~$16/mo).</t>
        </is>
      </c>
    </row>
    <row r="14" ht="30" customHeight="1">
      <c r="A14" s="21" t="inlineStr">
        <is>
          <t>• Result: Seasons keeps ~$82/mo/unit, Kelton ~$37/mo/unit → Seasons has a +$544/unit/yr NOI advantage on the bundle alone (~23% of the entire NOI/unit gap).</t>
        </is>
      </c>
    </row>
    <row r="15" ht="30" customHeight="1">
      <c r="A15" s="21" t="inlineStr">
        <is>
          <t>• VALUE-ADD FOR KELTON: restructure to internet-heavy economics (~$16/mo cost like Seasons) → ~$140k/yr saved → ~$584/unit/yr NOI → ~$2.95M of value at the 4.75% cap, while still charging residents ~$100/mo.</t>
        </is>
      </c>
    </row>
    <row r="16" ht="30" customHeight="1">
      <c r="A16" s="21" t="inlineStr">
        <is>
          <t>• Diligence: confirm $82,625 is Seasons' ONLY bundle cost (nothing buried in payroll/contracts); and that Kelton residents will accept internet-only or a repriced package.</t>
        </is>
      </c>
    </row>
  </sheetData>
  <mergeCells count="7">
    <mergeCell ref="A12:H12"/>
    <mergeCell ref="A15:H15"/>
    <mergeCell ref="A2:H2"/>
    <mergeCell ref="A16:H16"/>
    <mergeCell ref="A13:H13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 ht="26" customHeight="1">
      <c r="A1" s="1" t="inlineStr">
        <is>
          <t>Other Income &amp; Operating Expense — GL detail (T12, per unit)</t>
        </is>
      </c>
    </row>
    <row r="2">
      <c r="A2" s="2" t="inlineStr">
        <is>
          <t>Full line detail from each model's Income &amp; Expense Analysis. Δ = Seasons/u − Kelton/u (income) or Kelton/u − Seasons/u shown as Kelton-excess for expenses. Flags in red.</t>
        </is>
      </c>
    </row>
    <row r="4">
      <c r="A4" s="20" t="inlineStr">
        <is>
          <t>OTHER INCOME</t>
        </is>
      </c>
    </row>
    <row r="5">
      <c r="A5" s="29" t="inlineStr">
        <is>
          <t>Line (T12)</t>
        </is>
      </c>
      <c r="B5" s="30" t="inlineStr">
        <is>
          <t>Kelton $</t>
        </is>
      </c>
      <c r="C5" s="30" t="inlineStr">
        <is>
          <t>Kelton/u</t>
        </is>
      </c>
      <c r="D5" s="30" t="inlineStr">
        <is>
          <t>Seasons $</t>
        </is>
      </c>
      <c r="E5" s="30" t="inlineStr">
        <is>
          <t>Seasons/u</t>
        </is>
      </c>
      <c r="F5" s="30" t="inlineStr">
        <is>
          <t>Δ/u</t>
        </is>
      </c>
    </row>
    <row r="6">
      <c r="A6" s="31" t="inlineStr">
        <is>
          <t>Resident bundle (Kelton TV/Cable · Seasons Concierge)</t>
        </is>
      </c>
      <c r="B6" s="46" t="n">
        <v>290428</v>
      </c>
      <c r="C6" s="32" t="n">
        <v>1210.116666666667</v>
      </c>
      <c r="D6" s="46" t="n">
        <v>514872</v>
      </c>
      <c r="E6" s="32" t="n">
        <v>1170.163636363636</v>
      </c>
      <c r="F6" s="36" t="n">
        <v>-39.95303030303012</v>
      </c>
    </row>
    <row r="7">
      <c r="A7" s="34" t="inlineStr">
        <is>
          <t>Parking / storage / garage</t>
        </is>
      </c>
      <c r="B7" s="47" t="n">
        <v>99060</v>
      </c>
      <c r="C7" s="35" t="n">
        <v>412.75</v>
      </c>
      <c r="D7" s="47" t="n">
        <v>380815</v>
      </c>
      <c r="E7" s="35" t="n">
        <v>865.4886363636364</v>
      </c>
      <c r="F7" s="33" t="n">
        <v>452.7386363636364</v>
      </c>
    </row>
    <row r="8">
      <c r="A8" s="31" t="inlineStr">
        <is>
          <t>RUBS / utility recovery</t>
        </is>
      </c>
      <c r="B8" s="46" t="n">
        <v>352615</v>
      </c>
      <c r="C8" s="32" t="n">
        <v>1469.229166666667</v>
      </c>
      <c r="D8" s="46" t="n">
        <v>454556</v>
      </c>
      <c r="E8" s="32" t="n">
        <v>1033.081818181818</v>
      </c>
      <c r="F8" s="36" t="n">
        <v>-436.1473484848486</v>
      </c>
    </row>
    <row r="9">
      <c r="A9" s="34" t="inlineStr">
        <is>
          <t>Fees &amp; misc (late, admin, pet, app, lease buyout/init, renters-liab…)</t>
        </is>
      </c>
      <c r="B9" s="47" t="n">
        <v>157669</v>
      </c>
      <c r="C9" s="35" t="n">
        <v>656.9541666666667</v>
      </c>
      <c r="D9" s="47" t="n">
        <v>478057</v>
      </c>
      <c r="E9" s="35" t="n">
        <v>1086.493181818182</v>
      </c>
      <c r="F9" s="33" t="n">
        <v>429.5390151515151</v>
      </c>
    </row>
    <row r="10">
      <c r="A10" s="31" t="inlineStr">
        <is>
          <t xml:space="preserve">  TOTAL other income</t>
        </is>
      </c>
      <c r="B10" s="46" t="n">
        <v>899771</v>
      </c>
      <c r="C10" s="32" t="n">
        <v>3749.045833333333</v>
      </c>
      <c r="D10" s="46" t="n">
        <v>1828300</v>
      </c>
      <c r="E10" s="32" t="n">
        <v>4155.227272727273</v>
      </c>
      <c r="F10" s="33" t="n">
        <v>406.1814393939399</v>
      </c>
    </row>
    <row r="12">
      <c r="A12" s="20" t="inlineStr">
        <is>
          <t>OPERATING EXPENSES  (Δ/u = Kelton excess over Seasons)</t>
        </is>
      </c>
    </row>
    <row r="13">
      <c r="A13" s="29" t="inlineStr">
        <is>
          <t>Line (T12)</t>
        </is>
      </c>
      <c r="B13" s="30" t="inlineStr">
        <is>
          <t>Kelton $</t>
        </is>
      </c>
      <c r="C13" s="30" t="inlineStr">
        <is>
          <t>Kelton/u</t>
        </is>
      </c>
      <c r="D13" s="30" t="inlineStr">
        <is>
          <t>Seasons $</t>
        </is>
      </c>
      <c r="E13" s="30" t="inlineStr">
        <is>
          <t>Seasons/u</t>
        </is>
      </c>
      <c r="F13" s="30" t="inlineStr">
        <is>
          <t>Δ/u</t>
        </is>
      </c>
    </row>
    <row r="14">
      <c r="A14" s="31" t="inlineStr">
        <is>
          <t>Payroll</t>
        </is>
      </c>
      <c r="B14" s="46" t="n">
        <v>343570</v>
      </c>
      <c r="C14" s="32" t="n">
        <v>1431.541666666667</v>
      </c>
      <c r="D14" s="46" t="n">
        <v>744868</v>
      </c>
      <c r="E14" s="32" t="n">
        <v>1692.881818181818</v>
      </c>
      <c r="F14" s="36" t="n">
        <v>-261.3401515151515</v>
      </c>
    </row>
    <row r="15">
      <c r="A15" s="34" t="inlineStr">
        <is>
          <t>Advertising (Kelton Internet Mktg $84,804)</t>
        </is>
      </c>
      <c r="B15" s="47" t="n">
        <v>85869</v>
      </c>
      <c r="C15" s="35" t="n">
        <v>357.7875</v>
      </c>
      <c r="D15" s="47" t="n">
        <v>87139</v>
      </c>
      <c r="E15" s="35" t="n">
        <v>198.0431818181818</v>
      </c>
      <c r="F15" s="33" t="n">
        <v>159.7443181818182</v>
      </c>
    </row>
    <row r="16">
      <c r="A16" s="48" t="inlineStr">
        <is>
          <t>General &amp; Admin  ⚑ Kelton Dues &amp; Subs $111,506 (Seasons $64)</t>
        </is>
      </c>
      <c r="B16" s="49" t="n">
        <v>144916</v>
      </c>
      <c r="C16" s="50" t="n">
        <v>603.8166666666667</v>
      </c>
      <c r="D16" s="49" t="n">
        <v>43493</v>
      </c>
      <c r="E16" s="50" t="n">
        <v>98.84772727272727</v>
      </c>
      <c r="F16" s="51" t="n">
        <v>504.9689393939394</v>
      </c>
    </row>
    <row r="17">
      <c r="A17" s="34" t="inlineStr">
        <is>
          <t>Turnover  (Kelton books make-ready here; Seasons in R&amp;M/capex)</t>
        </is>
      </c>
      <c r="B17" s="47" t="n">
        <v>103434</v>
      </c>
      <c r="C17" s="35" t="n">
        <v>430.975</v>
      </c>
      <c r="D17" s="47" t="n">
        <v>21010</v>
      </c>
      <c r="E17" s="35" t="n">
        <v>47.75</v>
      </c>
      <c r="F17" s="33" t="n">
        <v>383.225</v>
      </c>
    </row>
    <row r="18">
      <c r="A18" s="31" t="inlineStr">
        <is>
          <t>Repairs &amp; Maintenance</t>
        </is>
      </c>
      <c r="B18" s="46" t="n">
        <v>41105</v>
      </c>
      <c r="C18" s="32" t="n">
        <v>171.2708333333333</v>
      </c>
      <c r="D18" s="46" t="n">
        <v>84364</v>
      </c>
      <c r="E18" s="32" t="n">
        <v>191.7363636363636</v>
      </c>
      <c r="F18" s="36" t="n">
        <v>-20.46553030303031</v>
      </c>
    </row>
    <row r="19">
      <c r="A19" s="34" t="inlineStr">
        <is>
          <t>Contracts</t>
        </is>
      </c>
      <c r="B19" s="47" t="n">
        <v>147101</v>
      </c>
      <c r="C19" s="35" t="n">
        <v>612.9208333333333</v>
      </c>
      <c r="D19" s="47" t="n">
        <v>180939</v>
      </c>
      <c r="E19" s="35" t="n">
        <v>411.225</v>
      </c>
      <c r="F19" s="33" t="n">
        <v>201.6958333333333</v>
      </c>
    </row>
    <row r="20">
      <c r="A20" s="31" t="inlineStr">
        <is>
          <t>Utilities (incl. media/internet bundle cost)</t>
        </is>
      </c>
      <c r="B20" s="46" t="n">
        <v>492342</v>
      </c>
      <c r="C20" s="32" t="n">
        <v>2051.425</v>
      </c>
      <c r="D20" s="46" t="n">
        <v>535973</v>
      </c>
      <c r="E20" s="32" t="n">
        <v>1218.120454545455</v>
      </c>
      <c r="F20" s="33" t="n">
        <v>833.3045454545456</v>
      </c>
    </row>
    <row r="21">
      <c r="A21" s="34" t="inlineStr">
        <is>
          <t>Management fee</t>
        </is>
      </c>
      <c r="B21" s="47" t="n">
        <v>130068</v>
      </c>
      <c r="C21" s="35" t="n">
        <v>541.95</v>
      </c>
      <c r="D21" s="47" t="n">
        <v>312704</v>
      </c>
      <c r="E21" s="35" t="n">
        <v>710.6909090909091</v>
      </c>
      <c r="F21" s="36" t="n">
        <v>-168.7409090909091</v>
      </c>
    </row>
    <row r="22">
      <c r="A22" s="31" t="inlineStr">
        <is>
          <t>Insurance (Kelton T12 partial; UW to ~$126k)</t>
        </is>
      </c>
      <c r="B22" s="46" t="n">
        <v>59440</v>
      </c>
      <c r="C22" s="32" t="n">
        <v>247.6666666666667</v>
      </c>
      <c r="D22" s="46" t="n">
        <v>119936</v>
      </c>
      <c r="E22" s="32" t="n">
        <v>272.5818181818182</v>
      </c>
      <c r="F22" s="36" t="n">
        <v>-24.91515151515151</v>
      </c>
    </row>
    <row r="23">
      <c r="A23" s="34" t="inlineStr">
        <is>
          <t>Real estate taxes</t>
        </is>
      </c>
      <c r="B23" s="47" t="n">
        <v>293800</v>
      </c>
      <c r="C23" s="35" t="n">
        <v>1224.166666666667</v>
      </c>
      <c r="D23" s="47" t="n">
        <v>528954</v>
      </c>
      <c r="E23" s="35" t="n">
        <v>1202.168181818182</v>
      </c>
      <c r="F23" s="33" t="n">
        <v>21.99848484848485</v>
      </c>
    </row>
    <row r="25">
      <c r="A25" s="20" t="inlineStr">
        <is>
          <t>Notes</t>
        </is>
      </c>
    </row>
    <row r="26" ht="28" customHeight="1">
      <c r="A26" s="21" t="inlineStr">
        <is>
          <t>⚑ Kelton G&amp;A 'Dues &amp; Subscriptions' = $111,506 ($465/u) is 77% of its G&amp;A; Seasons' is $64. Almost certainly a misclassification/corporate allocation — scrub it (≈ a third of the NOI/unit gap).</t>
        </is>
      </c>
    </row>
    <row r="27" ht="28" customHeight="1">
      <c r="A27" s="21" t="inlineStr">
        <is>
          <t>• Turnover gap is largely classification (Kelton: carpet/paint/cleaning in Turnover; Seasons: in R&amp;M/capex) — normalize before comparing.</t>
        </is>
      </c>
    </row>
    <row r="28" ht="28" customHeight="1">
      <c r="A28" s="21" t="inlineStr">
        <is>
          <t>• Utilities gap is the media bundle (see Resident Bundle tab); core utilities are ~equal ($1,280 vs $1,252/u).</t>
        </is>
      </c>
    </row>
    <row r="29" ht="28" customHeight="1">
      <c r="A29" s="21" t="inlineStr">
        <is>
          <t>• Seasons' higher payroll/management reflect a larger 440-unit property with a concierge/services program.</t>
        </is>
      </c>
    </row>
  </sheetData>
  <mergeCells count="9">
    <mergeCell ref="A12:H12"/>
    <mergeCell ref="A4:H4"/>
    <mergeCell ref="A26:H26"/>
    <mergeCell ref="A29:H29"/>
    <mergeCell ref="A25:H25"/>
    <mergeCell ref="A2:H2"/>
    <mergeCell ref="A28:H28"/>
    <mergeCell ref="A1:H1"/>
    <mergeCell ref="A27:H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18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6" customHeight="1">
      <c r="A1" s="1" t="inlineStr">
        <is>
          <t>Key Findings, Model Flags &amp; Recommendations</t>
        </is>
      </c>
    </row>
    <row r="4">
      <c r="A4" s="4" t="inlineStr">
        <is>
          <t>#</t>
        </is>
      </c>
      <c r="B4" s="3" t="inlineStr">
        <is>
          <t>Finding</t>
        </is>
      </c>
      <c r="C4" s="3" t="inlineStr">
        <is>
          <t>So what / recommendation</t>
        </is>
      </c>
      <c r="D4" s="4" t="inlineStr">
        <is>
          <t>$ impact</t>
        </is>
      </c>
    </row>
    <row r="5" ht="46" customHeight="1">
      <c r="A5" s="52" t="inlineStr">
        <is>
          <t>1</t>
        </is>
      </c>
      <c r="B5" s="53" t="inlineStr">
        <is>
          <t>Unlevered IRR: Kelton 8.24% &gt; Seasons 7.73%; levered flips (11.05% vs 12.91%).</t>
        </is>
      </c>
      <c r="C5" s="53" t="inlineStr">
        <is>
          <t>Kelton wins on higher day-one cash yield (4.02% vs 3.65% unlevered) + ~$8M less capex. Seasons' reno-driven, back-loaded growth only wins with leverage.</t>
        </is>
      </c>
      <c r="D5" s="54" t="inlineStr">
        <is>
          <t>+51 bps unlev</t>
        </is>
      </c>
    </row>
    <row r="6" ht="46" customHeight="1">
      <c r="A6" s="55" t="inlineStr">
        <is>
          <t>2</t>
        </is>
      </c>
      <c r="B6" s="56" t="inlineStr">
        <is>
          <t>Kelton taxes reassessed DOWN to the $55M price (100%), cutting Yr-1 tax to $266k from $302k in-place.</t>
        </is>
      </c>
      <c r="C6" s="56" t="inlineStr">
        <is>
          <t>Optimistic (assumes a successful appeal to a below-assessment sale price) and opposite of Seasons (up to 91% of price). Test taxes held flat at $302k or reassessed UP.</t>
        </is>
      </c>
      <c r="D6" s="57" t="inlineStr">
        <is>
          <t>~$37k/yr NOI · ~$780k value</t>
        </is>
      </c>
    </row>
    <row r="7" ht="46" customHeight="1">
      <c r="A7" s="52" t="inlineStr">
        <is>
          <t>3</t>
        </is>
      </c>
      <c r="B7" s="53" t="inlineStr">
        <is>
          <t>Residual under-taxed: exit sells at $67.5M but the tax module assesses ~$62M; no exit step-up for the buyer.</t>
        </is>
      </c>
      <c r="C7" s="53" t="inlineStr">
        <is>
          <t>Terminal NOI over-earns on low taxes → reversion inflated. Grow assessed value with the modeled value, or reassess to the exit price.</t>
        </is>
      </c>
      <c r="D7" s="54" t="inlineStr">
        <is>
          <t>~$380k of reversion</t>
        </is>
      </c>
    </row>
    <row r="8" ht="46" customHeight="1">
      <c r="A8" s="55" t="inlineStr">
        <is>
          <t>4</t>
        </is>
      </c>
      <c r="B8" s="56" t="inlineStr">
        <is>
          <t>Kelton G&amp;A 'Dues &amp; Subscriptions' = $111,506 ($465/u); Seasons $64.</t>
        </is>
      </c>
      <c r="C8" s="56" t="inlineStr">
        <is>
          <t>Almost certainly a misclassification / corporate allocation. Scrub &amp; reclassify — swings a third of the NOI/unit gap.</t>
        </is>
      </c>
      <c r="D8" s="57" t="inlineStr">
        <is>
          <t>~$465/u · ~$2.3M value</t>
        </is>
      </c>
    </row>
    <row r="9" ht="46" customHeight="1">
      <c r="A9" s="52" t="inlineStr">
        <is>
          <t>5</t>
        </is>
      </c>
      <c r="B9" s="53" t="inlineStr">
        <is>
          <t>Resident bundle margin: Seasons nets ~$82/mo/u, Kelton ~$37/mo/u (Kelton buys costly cable-TV+phone; Seasons internet-only).</t>
        </is>
      </c>
      <c r="C9" s="53" t="inlineStr">
        <is>
          <t>VALUE-ADD: move Kelton to internet-heavy economics → ~$140k/yr saved, same resident charge.</t>
        </is>
      </c>
      <c r="D9" s="54" t="inlineStr">
        <is>
          <t>+$584/u/yr · ~$2.95M value</t>
        </is>
      </c>
    </row>
    <row r="10" ht="46" customHeight="1">
      <c r="A10" s="55" t="inlineStr">
        <is>
          <t>6</t>
        </is>
      </c>
      <c r="B10" s="56" t="inlineStr">
        <is>
          <t>Seasons other income leans on Concierge $514,872 + Storage/Garage $379,415 + a broad fee stack.</t>
        </is>
      </c>
      <c r="C10" s="56" t="inlineStr">
        <is>
          <t>Verify these are mandatory, sustainable, and net-of-cost before trusting the comp's NOI/unit.</t>
        </is>
      </c>
      <c r="D10" s="57" t="inlineStr">
        <is>
          <t>$0.9M+/yr at Seasons</t>
        </is>
      </c>
    </row>
    <row r="11" ht="46" customHeight="1">
      <c r="A11" s="52" t="inlineStr">
        <is>
          <t>7</t>
        </is>
      </c>
      <c r="B11" s="53" t="inlineStr">
        <is>
          <t>Turnover classification differs (Kelton in Turnover; Seasons in R&amp;M/capex).</t>
        </is>
      </c>
      <c r="C11" s="53" t="inlineStr">
        <is>
          <t>Normalize to one basis before comparing opex; the raw $383/u gap is mostly optical.</t>
        </is>
      </c>
      <c r="D11" s="54" t="inlineStr">
        <is>
          <t>~$383/u optical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2026-07-13T18:42:26Z</dcterms:created>
  <dcterms:modified xsi:type="dcterms:W3CDTF">2026-07-13T18:42:26Z</dcterms:modified>
</cp:coreProperties>
</file>
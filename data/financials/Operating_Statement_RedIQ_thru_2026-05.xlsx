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Jun-2025 (M) | May-2026 (M)" sheetId="2" r:id="rId2"/>
    <sheet name="About" sheetId="3" r:id="rId3"/>
  </sheets>
  <definedNames>
    <definedName name="GeneratedBy">About!$B$16</definedName>
    <definedName name="_xlnm.Print_Titles" localSheetId="0">Overview!$B:$B,Overview!$1:$4</definedName>
  </definedNames>
  <calcPr calcMode="autoNoTable"/>
</workbook>
</file>

<file path=xl/sharedStrings.xml><?xml version="1.0" encoding="utf-8"?>
<sst xmlns="http://schemas.openxmlformats.org/spreadsheetml/2006/main" count="495" uniqueCount="275">
  <si>
    <t>The Kelton Apartments</t>
  </si>
  <si>
    <t xml:space="preserve"> Operating Statement Cash Flows</t>
  </si>
  <si>
    <t>Adjusted  Amounts ($ totals)</t>
  </si>
  <si>
    <t>Annual</t>
  </si>
  <si>
    <t>Monthly</t>
  </si>
  <si>
    <t>Effective Gross Revenue</t>
  </si>
  <si>
    <t>Rental Income</t>
  </si>
  <si>
    <t>Other Income</t>
  </si>
  <si>
    <t>Rubs Water / Sewage</t>
  </si>
  <si>
    <t>Rubs Trash</t>
  </si>
  <si>
    <t>Rubs Fees</t>
  </si>
  <si>
    <t>Garage / Parking</t>
  </si>
  <si>
    <t>Corporate Income</t>
  </si>
  <si>
    <t>Cable Income</t>
  </si>
  <si>
    <t>(Loss to Lease) / Gain to Lease</t>
  </si>
  <si>
    <t>Vacancy</t>
  </si>
  <si>
    <t>Collection Loss / Bad Debt</t>
  </si>
  <si>
    <t>Non-Revenue Units</t>
  </si>
  <si>
    <t>Concessions</t>
  </si>
  <si>
    <t>Operating Expenses</t>
  </si>
  <si>
    <t>Payroll</t>
  </si>
  <si>
    <t>Payroll Burden</t>
  </si>
  <si>
    <t>Payroll Bonuses</t>
  </si>
  <si>
    <t>Marketing / Advertising</t>
  </si>
  <si>
    <t>General &amp; Administrative</t>
  </si>
  <si>
    <t>Turnover</t>
  </si>
  <si>
    <t>R&amp;M Interior / Exterior</t>
  </si>
  <si>
    <t>Contract</t>
  </si>
  <si>
    <t>Life Safety / Elevators</t>
  </si>
  <si>
    <t>Homeowners Association Fees</t>
  </si>
  <si>
    <t>Utilities Trash</t>
  </si>
  <si>
    <t>Utilities Water Sewer</t>
  </si>
  <si>
    <t>Utilities Common</t>
  </si>
  <si>
    <t>Utilities Fees</t>
  </si>
  <si>
    <t>Property Management Fee</t>
  </si>
  <si>
    <t>Insurance</t>
  </si>
  <si>
    <t>Real Estate Taxes</t>
  </si>
  <si>
    <t>Not Included</t>
  </si>
  <si>
    <t>R&amp;M Site</t>
  </si>
  <si>
    <t>Net Operating Income</t>
  </si>
  <si>
    <t>Non-Operating Revenue</t>
  </si>
  <si>
    <t>Disposition Proceeds</t>
  </si>
  <si>
    <t>Non-Operating Expenses</t>
  </si>
  <si>
    <t>Replacement Reserve Deposits</t>
  </si>
  <si>
    <t>Capital Improvements</t>
  </si>
  <si>
    <t>Appliance Expenditures</t>
  </si>
  <si>
    <t>Extraordinary Capital Expenditure</t>
  </si>
  <si>
    <t>TI&amp;LC Reserve Deposits</t>
  </si>
  <si>
    <t>TI&amp;LC Reserve Withdrawls</t>
  </si>
  <si>
    <t>TI&amp;LC Actual Expenditures</t>
  </si>
  <si>
    <t>Interest</t>
  </si>
  <si>
    <t>Principal</t>
  </si>
  <si>
    <t>Loan Draws</t>
  </si>
  <si>
    <t>Loan Repayments</t>
  </si>
  <si>
    <t>Other Debt Fees</t>
  </si>
  <si>
    <t>Other Reserves Funded / Used / Released</t>
  </si>
  <si>
    <t>Investor Contributions and Distributions</t>
  </si>
  <si>
    <t>Sponsor Contributions and Distributions</t>
  </si>
  <si>
    <t>Entity Expenses</t>
  </si>
  <si>
    <t>Partnership Fees and Expenses</t>
  </si>
  <si>
    <t>Purchase Price</t>
  </si>
  <si>
    <t>Acquisition Expenses</t>
  </si>
  <si>
    <t>Disposition Expenses</t>
  </si>
  <si>
    <t>Depreciation</t>
  </si>
  <si>
    <t>Other Non-Operating Expense</t>
  </si>
  <si>
    <t>Net Income</t>
  </si>
  <si>
    <t>Downloaded: 07/08/2026</t>
  </si>
  <si>
    <t>Code</t>
  </si>
  <si>
    <t>Rentinc</t>
  </si>
  <si>
    <t>OI</t>
  </si>
  <si>
    <t>RWS</t>
  </si>
  <si>
    <t>RT</t>
  </si>
  <si>
    <t>RF</t>
  </si>
  <si>
    <t>park</t>
  </si>
  <si>
    <t>CI</t>
  </si>
  <si>
    <t>cable</t>
  </si>
  <si>
    <t>ltl</t>
  </si>
  <si>
    <t>vac</t>
  </si>
  <si>
    <t>cl</t>
  </si>
  <si>
    <t>nr</t>
  </si>
  <si>
    <t>conc</t>
  </si>
  <si>
    <t>Pay</t>
  </si>
  <si>
    <t>PB</t>
  </si>
  <si>
    <t>PBo</t>
  </si>
  <si>
    <t>adv</t>
  </si>
  <si>
    <t>GA</t>
  </si>
  <si>
    <t>turn</t>
  </si>
  <si>
    <t>inter/exte</t>
  </si>
  <si>
    <t>cont</t>
  </si>
  <si>
    <t>Safe</t>
  </si>
  <si>
    <t>HAF</t>
  </si>
  <si>
    <t>UT</t>
  </si>
  <si>
    <t>UWS</t>
  </si>
  <si>
    <t>UC</t>
  </si>
  <si>
    <t>UF</t>
  </si>
  <si>
    <t>mgt</t>
  </si>
  <si>
    <t>ins</t>
  </si>
  <si>
    <t>ret</t>
  </si>
  <si>
    <t>NI</t>
  </si>
  <si>
    <t>site</t>
  </si>
  <si>
    <t>dispro</t>
  </si>
  <si>
    <t>rd</t>
  </si>
  <si>
    <t>capx</t>
  </si>
  <si>
    <t>aex</t>
  </si>
  <si>
    <t>ece</t>
  </si>
  <si>
    <t>tird</t>
  </si>
  <si>
    <t>tirw</t>
  </si>
  <si>
    <t>tiae</t>
  </si>
  <si>
    <t>intex</t>
  </si>
  <si>
    <t>prin</t>
  </si>
  <si>
    <t>draw</t>
  </si>
  <si>
    <t>repay</t>
  </si>
  <si>
    <t>othdf</t>
  </si>
  <si>
    <t>ord</t>
  </si>
  <si>
    <t>icd</t>
  </si>
  <si>
    <t>scd</t>
  </si>
  <si>
    <t>entex</t>
  </si>
  <si>
    <t>pfex</t>
  </si>
  <si>
    <t>purch</t>
  </si>
  <si>
    <t>acqex</t>
  </si>
  <si>
    <t>disex</t>
  </si>
  <si>
    <t>depex</t>
  </si>
  <si>
    <t>onoe</t>
  </si>
  <si>
    <t>Category</t>
  </si>
  <si>
    <t>Line Item</t>
  </si>
  <si>
    <t>INCOME</t>
  </si>
  <si>
    <t>40000 RENTAL INCOME</t>
  </si>
  <si>
    <t>40100 RENT INCOME</t>
  </si>
  <si>
    <t>40120 GAIN/LOSS TO LEASE</t>
  </si>
  <si>
    <t>40140 SECTION 8 RENT INCOME</t>
  </si>
  <si>
    <t>40000 Total RENTAL INCOME</t>
  </si>
  <si>
    <t>41000 RENTAL DEDUCTIONS</t>
  </si>
  <si>
    <t>41100 VACANCY LOSS</t>
  </si>
  <si>
    <t>41120 DELINQUENT RENT</t>
  </si>
  <si>
    <t>41140 PRIOR MONTH COLLECTIONS</t>
  </si>
  <si>
    <t>41160 NEW RESIDENT CONCESSIONS</t>
  </si>
  <si>
    <t>41180 RENEWAL CONCESSIONS</t>
  </si>
  <si>
    <t>41220 EMPLOYEE UNIT RENT CREDIT</t>
  </si>
  <si>
    <t>41240 RESIDENTL REFERRALS</t>
  </si>
  <si>
    <t>41000 Total RENTAL DEDUCTIONS</t>
  </si>
  <si>
    <t>42000 OTHER INCOME</t>
  </si>
  <si>
    <t>42100 MTM FEE INCOME</t>
  </si>
  <si>
    <t>42110 PARKING INCOME</t>
  </si>
  <si>
    <t>42120 CARPORT INCOME</t>
  </si>
  <si>
    <t>42130 GARAGE INCOME</t>
  </si>
  <si>
    <t>42150 AMENITY INCOME</t>
  </si>
  <si>
    <t>42160 RUBS - WATER/SEWER/TRASH</t>
  </si>
  <si>
    <t>42180 TRASH INCOME</t>
  </si>
  <si>
    <t>42190 TVCABLE INCOME</t>
  </si>
  <si>
    <t>42200 PET RENT</t>
  </si>
  <si>
    <t>42210 CLEANING FEE (WA ONLY)</t>
  </si>
  <si>
    <t>42220 APPLICATION FEE INCOME</t>
  </si>
  <si>
    <t>42230 LATE FEE INCOME</t>
  </si>
  <si>
    <t>42240 NSF INCOME</t>
  </si>
  <si>
    <t>42250 CREDIT BUILDER - INCOME</t>
  </si>
  <si>
    <t>42260 RESIDENT CHARGE BACK INCOME</t>
  </si>
  <si>
    <t>42270 PAINTING CHARGE BACK INCOME</t>
  </si>
  <si>
    <t>42280 DRYWALL PATCH CHARGE BACK INCOME</t>
  </si>
  <si>
    <t>42300 BAD DEBT RECOVERY INCOME</t>
  </si>
  <si>
    <t>42310 CANCELLATION FEE INCOME</t>
  </si>
  <si>
    <t>42320 NON-COMPLIANCE FEE</t>
  </si>
  <si>
    <t>42330 ADMINISTRATIVE FEE INCOME</t>
  </si>
  <si>
    <t>42340 NON-REFUNDABLE PET FEE</t>
  </si>
  <si>
    <t>42350 OTHER INCOME</t>
  </si>
  <si>
    <t>42000 Total OTHER INCOME</t>
  </si>
  <si>
    <t>TOTAL INCOME</t>
  </si>
  <si>
    <t>EXPENSE</t>
  </si>
  <si>
    <t>61000 ADMINISTRATION</t>
  </si>
  <si>
    <t>61100 ACCTG PROCESSING FEE</t>
  </si>
  <si>
    <t>61120 COMPUTER, COPIER EXPENSE</t>
  </si>
  <si>
    <t>61140 DUES &amp; SUBSCRIPTIONS</t>
  </si>
  <si>
    <t>61150 EMPLOYMENT SCREENING</t>
  </si>
  <si>
    <t>61160 AUTO EXPENSE</t>
  </si>
  <si>
    <t>61170 MEALS EXPENSE</t>
  </si>
  <si>
    <t>61180 LEGAL &amp; PROFESSIONAL FEES</t>
  </si>
  <si>
    <t>61190 LICENSES, PERMITS &amp; FEES</t>
  </si>
  <si>
    <t>61200 CREDIT/ABATEMENT</t>
  </si>
  <si>
    <t>61210 OFFICE SUPPLIES</t>
  </si>
  <si>
    <t>61230 TRAINING</t>
  </si>
  <si>
    <t>61240 RESIDENT SERVICES</t>
  </si>
  <si>
    <t>61250 PAYROLL SERVICE</t>
  </si>
  <si>
    <t>61260 POSTAGE</t>
  </si>
  <si>
    <t>61270 RESIDENT SCREENING</t>
  </si>
  <si>
    <t>61310 ADMIN-OTHER</t>
  </si>
  <si>
    <t>61320 TRAVEL</t>
  </si>
  <si>
    <t>61350 RESIDENT RETENTION</t>
  </si>
  <si>
    <t>61000 Total ADMINISTRATION</t>
  </si>
  <si>
    <t>62000 PAYROLL</t>
  </si>
  <si>
    <t>62100 SALARIES</t>
  </si>
  <si>
    <t>62110 COMMISSION/BONUS</t>
  </si>
  <si>
    <t>62120 HEALTH INS (TEAM MEMBER)</t>
  </si>
  <si>
    <t>62130 PAYROLL TAXES ER</t>
  </si>
  <si>
    <t>62140 WORKERS COMP INS</t>
  </si>
  <si>
    <t>62000 Total PAYROLL</t>
  </si>
  <si>
    <t>63000 MARKETING</t>
  </si>
  <si>
    <t>63100 COLLATERAL MARKETING</t>
  </si>
  <si>
    <t>63110 INTERNET MARKETING</t>
  </si>
  <si>
    <t>63120 MISC ADVERTISING</t>
  </si>
  <si>
    <t>63000 Total MARKETING</t>
  </si>
  <si>
    <t>64000 REPAIRS &amp; MAINTENANCE</t>
  </si>
  <si>
    <t>64000 REPAIRS &amp; MAINTENANCE - Other</t>
  </si>
  <si>
    <t>64100 APARTMENT MAINTENANCE</t>
  </si>
  <si>
    <t>64110 APPLIANCE REPAIR</t>
  </si>
  <si>
    <t>64120 MAINTENANCE SUPPLIES &amp; TOOLS</t>
  </si>
  <si>
    <t>64130 POOL</t>
  </si>
  <si>
    <t>64140 FITNESS CENTER SUPPLIES &amp; EQUIP</t>
  </si>
  <si>
    <t>64150 CLUBHOUSE SUPPLIES &amp; EQUIP</t>
  </si>
  <si>
    <t>64160 COMMON/OFFICE CLEANING</t>
  </si>
  <si>
    <t>64170 PURCHASE SERVICES MAINT</t>
  </si>
  <si>
    <t>64180 REPLACEMENT HVAC &amp; APPLIANCES</t>
  </si>
  <si>
    <t>64190 REPLACEMENT DRAPERY/BLIND</t>
  </si>
  <si>
    <t>64000 Total REPAIRS &amp; MAINTENANCE</t>
  </si>
  <si>
    <t>65000 TURNOVER COST</t>
  </si>
  <si>
    <t>65100 APARTMENT MAKE-READY</t>
  </si>
  <si>
    <t>65110 CARPET CLEANING</t>
  </si>
  <si>
    <t>65120 INTERIOR CLEANING</t>
  </si>
  <si>
    <t>65130 INTERIOR PAINTING</t>
  </si>
  <si>
    <t>65140 REPLACEMENT CARPET</t>
  </si>
  <si>
    <t>65150 REPLACEMENT VINYL</t>
  </si>
  <si>
    <t>65000 Total TURNOVER COST</t>
  </si>
  <si>
    <t>66000 GROUNDS</t>
  </si>
  <si>
    <t>66100 EXTERIOR MAINTENANCE</t>
  </si>
  <si>
    <t>66110 SNOW REMOVAL</t>
  </si>
  <si>
    <t>66120 LANDSCAPING</t>
  </si>
  <si>
    <t>66130 PEST CONTROL</t>
  </si>
  <si>
    <t>66140 SECURITY/ALARM</t>
  </si>
  <si>
    <t>66000 Total GROUNDS</t>
  </si>
  <si>
    <t>67000 UTILITIES</t>
  </si>
  <si>
    <t>67100 TV, INTERNET, PHONE</t>
  </si>
  <si>
    <t>67110 ELECTRICITY</t>
  </si>
  <si>
    <t>67120 VACANT ELECTRICITY</t>
  </si>
  <si>
    <t>67130 NATURAL GAS</t>
  </si>
  <si>
    <t>67140 VACANT NATURAL GAS</t>
  </si>
  <si>
    <t>67150 REFUSE REMOVAL</t>
  </si>
  <si>
    <t>67160 VALET TRASH REMOVAL</t>
  </si>
  <si>
    <t>67170 WATER &amp; SEWER</t>
  </si>
  <si>
    <t>67180 UTILITY REBILL SERVICE</t>
  </si>
  <si>
    <t>67000 Total UTILITIES</t>
  </si>
  <si>
    <t>69000 MANAGEMENT FEES</t>
  </si>
  <si>
    <t>69100 PROPERTY MANAGEMENT FEES</t>
  </si>
  <si>
    <t>69000 Total MANAGEMENT FEES</t>
  </si>
  <si>
    <t>XX6060 COMMON ELECTRIC</t>
  </si>
  <si>
    <t>XX6110 COMMON GAS</t>
  </si>
  <si>
    <t>82000 TAXES/INSURANCE</t>
  </si>
  <si>
    <t>82100 PROPERTY TAX</t>
  </si>
  <si>
    <t>82110 INSURANCE</t>
  </si>
  <si>
    <t>82000 Total TAXES/INSURANCE</t>
  </si>
  <si>
    <t>TOTAL EXPENSE</t>
  </si>
  <si>
    <t>NET OPERATING INCOME</t>
  </si>
  <si>
    <t>OTHER INCOME</t>
  </si>
  <si>
    <t>70000 NON OPERATING INCOME</t>
  </si>
  <si>
    <t>71090 INTEREST INCOME</t>
  </si>
  <si>
    <t>70000 Total NON OPERATING INCOME</t>
  </si>
  <si>
    <t>TOTAL OTHER INCOME</t>
  </si>
  <si>
    <t>NON-OPERATING EXPENSE</t>
  </si>
  <si>
    <t>81000 OTHER MANAGEMENT FEES</t>
  </si>
  <si>
    <t>81110 ASSET MANAGEMENT FEES</t>
  </si>
  <si>
    <t>81000 Total OTHER MANAGEMENT FEES</t>
  </si>
  <si>
    <t>83000 CAPITAL EXPENSES</t>
  </si>
  <si>
    <t>83100 CAP Expense</t>
  </si>
  <si>
    <t>83000 Total CAPITAL EXPENSES</t>
  </si>
  <si>
    <t>85000 DEBT SERVICE</t>
  </si>
  <si>
    <t>85100 DEBT SERVICE - INTEREST EXPENSE</t>
  </si>
  <si>
    <t>85000 Total DEBT SERVICE</t>
  </si>
  <si>
    <t>86000 OTHER NON-OPERATING EXPENSES</t>
  </si>
  <si>
    <t>86110 NON-RECURRING EXPENSE</t>
  </si>
  <si>
    <t>86000 Total OTHER NON-OPERATING EXPENSES</t>
  </si>
  <si>
    <t>TOTAL NON-OPERATING EXPENSE</t>
  </si>
  <si>
    <t>NET INCOME</t>
  </si>
  <si>
    <t>(646) 710-3241</t>
  </si>
  <si>
    <t>support@rediq.io</t>
  </si>
  <si>
    <t>https://www.rediq.io</t>
  </si>
  <si>
    <t>Confidential Information - Do Not Distribute</t>
  </si>
  <si>
    <t>Your exported data is available on the preceding spreadsheet tab(s).</t>
  </si>
  <si>
    <t>For assistance, please contact your redIQ sales representative.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</si>
</sst>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0"/>
      <name val="Arial"/>
      <family val="2"/>
    </font>
    <font>
      <b/>
      <sz val="14"/>
      <name val="Calibri"/>
      <family val="2"/>
    </font>
    <font>
      <b/>
      <sz val="12"/>
      <name val="Calibri"/>
      <family val="2"/>
    </font>
    <font>
      <i/>
      <sz val="10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</font>
    <font>
      <u val="single"/>
      <sz val="10"/>
      <color theme="10"/>
      <name val="Arial"/>
      <family val="2"/>
    </font>
  </fonts>
  <fills count="10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7DA"/>
        <bgColor indexed="64"/>
      </patternFill>
    </fill>
    <fill>
      <patternFill patternType="solid">
        <fgColor rgb="FFFFF7DA"/>
        <bgColor indexed="64"/>
      </patternFill>
    </fill>
    <fill>
      <patternFill patternType="solid">
        <fgColor rgb="FFDDEEAA"/>
        <bgColor indexed="64"/>
      </patternFill>
    </fill>
    <fill>
      <patternFill patternType="solid">
        <fgColor rgb="FFDDEEAA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/>
    </border>
    <border>
      <left/>
      <right/>
      <top style="thin"/>
      <bottom/>
    </border>
    <border>
      <left/>
      <right/>
      <top style="thin"/>
      <bottom style="medium"/>
    </border>
    <border>
      <left/>
      <right style="thin"/>
      <top style="thin"/>
      <bottom style="thin"/>
    </border>
    <border>
      <left/>
      <right style="thin"/>
      <top style="thin"/>
      <bottom/>
    </border>
    <border>
      <left/>
      <right style="thin"/>
      <top/>
      <bottom/>
    </border>
    <border>
      <left/>
      <right style="thin"/>
      <top/>
      <bottom style="thin"/>
    </border>
    <border>
      <left/>
      <right style="thin"/>
      <top style="thin"/>
      <bottom style="medium"/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  <xf numFmtId="0" fontId="2" fillId="0" borderId="0" xfId="0" applyNumberFormat="1" applyFont="1" applyFill="1" applyBorder="1" applyAlignment="1" applyProtection="1">
      <alignment/>
      <protection/>
    </xf>
    <xf numFmtId="0" fontId="3" fillId="0" borderId="0" xfId="0" applyNumberFormat="1" applyFont="1" applyFill="1" applyBorder="1" applyAlignment="1" applyProtection="1">
      <alignment/>
      <protection/>
    </xf>
    <xf numFmtId="0" fontId="4" fillId="0" borderId="1" xfId="0" applyNumberFormat="1" applyFont="1" applyFill="1" applyBorder="1" applyAlignment="1" applyProtection="1">
      <alignment/>
      <protection/>
    </xf>
    <xf numFmtId="17" fontId="5" fillId="0" borderId="1" xfId="0" applyNumberFormat="1" applyFont="1" applyFill="1" applyBorder="1" applyAlignment="1" applyProtection="1">
      <alignment horizontal="right"/>
      <protection/>
    </xf>
    <xf numFmtId="0" fontId="5" fillId="0" borderId="0" xfId="0" applyNumberFormat="1" applyFont="1" applyFill="1" applyBorder="1" applyAlignment="1" applyProtection="1">
      <alignment/>
      <protection/>
    </xf>
    <xf numFmtId="41" fontId="6" fillId="0" borderId="0" xfId="0" applyNumberFormat="1" applyFont="1" applyFill="1" applyBorder="1" applyAlignment="1" applyProtection="1">
      <alignment horizontal="left"/>
      <protection/>
    </xf>
    <xf numFmtId="41" fontId="7" fillId="0" borderId="2" xfId="0" applyNumberFormat="1" applyFont="1" applyFill="1" applyBorder="1" applyAlignment="1" applyProtection="1">
      <alignment horizontal="right"/>
      <protection/>
    </xf>
    <xf numFmtId="0" fontId="7" fillId="0" borderId="0" xfId="0" applyNumberFormat="1" applyFont="1" applyFill="1" applyBorder="1" applyAlignment="1" applyProtection="1">
      <alignment horizontal="left" indent="1"/>
      <protection/>
    </xf>
    <xf numFmtId="41" fontId="5" fillId="0" borderId="3" xfId="0" applyNumberFormat="1" applyFont="1" applyFill="1" applyBorder="1" applyAlignment="1" applyProtection="1">
      <alignment horizontal="right"/>
      <protection/>
    </xf>
    <xf numFmtId="17" fontId="5" fillId="0" borderId="4" xfId="0" applyNumberFormat="1" applyFont="1" applyFill="1" applyBorder="1" applyAlignment="1" applyProtection="1">
      <alignment horizontal="right"/>
      <protection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41" fontId="7" fillId="0" borderId="5" xfId="0" applyNumberFormat="1" applyFont="1" applyFill="1" applyBorder="1" applyAlignment="1" applyProtection="1">
      <alignment horizontal="right"/>
      <protection/>
    </xf>
    <xf numFmtId="41" fontId="5" fillId="0" borderId="8" xfId="0" applyNumberFormat="1" applyFont="1" applyFill="1" applyBorder="1" applyAlignment="1" applyProtection="1">
      <alignment horizontal="right"/>
      <protection/>
    </xf>
    <xf numFmtId="17" fontId="8" fillId="0" borderId="2" xfId="0" applyNumberFormat="1" applyFont="1" applyFill="1" applyBorder="1" applyAlignment="1" applyProtection="1">
      <alignment horizontal="right"/>
      <protection/>
    </xf>
    <xf numFmtId="0" fontId="6" fillId="2" borderId="0" xfId="0" applyFont="1" applyFill="1" applyBorder="1"/>
    <xf numFmtId="0" fontId="0" fillId="3" borderId="0" xfId="0" applyFill="1"/>
    <xf numFmtId="0" fontId="6" fillId="4" borderId="0" xfId="0" applyFont="1" applyFill="1" applyBorder="1"/>
    <xf numFmtId="0" fontId="0" fillId="5" borderId="0" xfId="0" applyFill="1"/>
    <xf numFmtId="41" fontId="6" fillId="4" borderId="0" xfId="0" applyNumberFormat="1" applyFont="1" applyFill="1" applyBorder="1" applyAlignment="1" applyProtection="1">
      <alignment horizontal="left"/>
      <protection/>
    </xf>
    <xf numFmtId="0" fontId="6" fillId="6" borderId="0" xfId="0" applyFont="1" applyFill="1" applyBorder="1"/>
    <xf numFmtId="0" fontId="0" fillId="7" borderId="0" xfId="0" applyFill="1"/>
    <xf numFmtId="41" fontId="6" fillId="6" borderId="0" xfId="0" applyNumberFormat="1" applyFont="1" applyFill="1" applyBorder="1" applyAlignment="1" applyProtection="1">
      <alignment horizontal="left"/>
      <protection/>
    </xf>
    <xf numFmtId="0" fontId="6" fillId="8" borderId="0" xfId="0" applyFont="1" applyFill="1" applyBorder="1"/>
    <xf numFmtId="0" fontId="0" fillId="9" borderId="0" xfId="0" applyFill="1"/>
    <xf numFmtId="41" fontId="6" fillId="8" borderId="0" xfId="0" applyNumberFormat="1" applyFont="1" applyFill="1" applyBorder="1" applyAlignment="1" applyProtection="1">
      <alignment horizontal="left"/>
      <protection/>
    </xf>
    <xf numFmtId="0" fontId="9" fillId="0" borderId="0" xfId="20"/>
    <xf numFmtId="49" fontId="0" fillId="0" borderId="0" xfId="0" applyNumberFormat="1" applyFont="1" applyAlignment="1">
      <alignment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142875</xdr:rowOff>
    </xdr:to>
    <xdr:sp macro="">
      <xdr:nvSpPr>
        <xdr:cNvPr id="1" name="AutoShape 2" descr="Image result for rediq logo"/>
        <xdr:cNvSpPr>
          <a:spLocks noChangeArrowheads="1" noChangeAspect="1"/>
        </xdr:cNvSpPr>
      </xdr:nvSpPr>
      <xdr:spPr>
        <a:xfrm>
          <a:off x="609600" y="161925"/>
          <a:ext cx="304800" cy="304800"/>
        </a:xfrm>
        <a:prstGeom prst="rect"/>
        <a:noFill/>
        <a:ln w="25400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wrap="square" anchorCtr="0" vert="horz"/>
        <a:p>
          <a:pPr>
            <a:defRPr/>
          </a:pPr>
          <a:r>
            <a:rPr lang="en-US" u="none" baseline="0"/>
            <a:t/>
          </a:r>
        </a:p>
      </xdr:txBody>
    </xdr:sp>
    <xdr:clientData/>
  </xdr:twoCellAnchor>
  <xdr:twoCellAnchor editAs="oneCell">
    <xdr:from>
      <xdr:col>1</xdr:col>
      <xdr:colOff>28575</xdr:colOff>
      <xdr:row>1</xdr:row>
      <xdr:rowOff>152401</xdr:rowOff>
    </xdr:from>
    <xdr:to>
      <xdr:col>3</xdr:col>
      <xdr:colOff>342900</xdr:colOff>
      <xdr:row>5</xdr:row>
      <xdr:rowOff>124876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8175" y="314325"/>
          <a:ext cx="1533525" cy="619125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mailto:support@rediq.io" TargetMode="External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"/>
  <sheetViews>
    <sheetView showGridLines="0" tabSelected="1" workbookViewId="0" topLeftCell="A1">
      <pane xSplit="2" ySplit="5" topLeftCell="C6" activePane="bottomRight" state="frozen"/>
      <selection pane="topLeft" activeCell="B1" sqref="B1"/>
      <selection pane="bottomLeft" activeCell="B6" sqref="B6"/>
      <selection pane="topRight" activeCell="C1" sqref="C1"/>
      <selection pane="bottomRight" activeCell="B1" sqref="B1"/>
    </sheetView>
  </sheetViews>
  <sheetFormatPr defaultColWidth="9.140625" defaultRowHeight="15" customHeight="1"/>
  <cols>
    <col min="2" max="2" width="39.4285714285714" customWidth="1"/>
    <col min="3" max="17" width="14.8571428571429" customWidth="1"/>
    <col min="18" max="18" width="11.8571428571429" customWidth="1"/>
  </cols>
  <sheetData>
    <row r="1" ht="18.75">
      <c r="B1" s="1" t="s">
        <v>0</v>
      </c>
    </row>
    <row r="2" ht="15.75">
      <c r="B2" s="2" t="s">
        <v>1</v>
      </c>
    </row>
    <row r="3" spans="2:17" ht="12.75"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3:17" ht="15" customHeight="1">
      <c r="C4" s="5" t="s">
        <v>3</v>
      </c>
      <c r="D4" s="5" t="s">
        <v>3</v>
      </c>
      <c r="E4" s="11" t="s">
        <v>3</v>
      </c>
      <c r="F4" s="5" t="s">
        <v>4</v>
      </c>
      <c r="G4" s="5" t="s">
        <v>4</v>
      </c>
      <c r="H4" s="5" t="s">
        <v>4</v>
      </c>
      <c r="I4" s="5" t="s">
        <v>4</v>
      </c>
      <c r="J4" s="5" t="s">
        <v>4</v>
      </c>
      <c r="K4" s="5" t="s">
        <v>4</v>
      </c>
      <c r="L4" s="5" t="s">
        <v>4</v>
      </c>
      <c r="M4" s="5" t="s">
        <v>4</v>
      </c>
      <c r="N4" s="5" t="s">
        <v>4</v>
      </c>
      <c r="O4" s="5" t="s">
        <v>4</v>
      </c>
      <c r="P4" s="5" t="s">
        <v>4</v>
      </c>
      <c r="Q4" s="5" t="s">
        <v>4</v>
      </c>
    </row>
    <row r="5" spans="3:17" ht="15">
      <c r="C5" s="5">
        <v>45627</v>
      </c>
      <c r="D5" s="5">
        <v>45992</v>
      </c>
      <c r="E5" s="11">
        <v>46357</v>
      </c>
      <c r="F5" s="5">
        <v>45809</v>
      </c>
      <c r="G5" s="5">
        <v>45839</v>
      </c>
      <c r="H5" s="5">
        <v>45870</v>
      </c>
      <c r="I5" s="5">
        <v>45901</v>
      </c>
      <c r="J5" s="5">
        <v>45931</v>
      </c>
      <c r="K5" s="5">
        <v>45962</v>
      </c>
      <c r="L5" s="5">
        <v>45992</v>
      </c>
      <c r="M5" s="5">
        <v>46023</v>
      </c>
      <c r="N5" s="5">
        <v>46054</v>
      </c>
      <c r="O5" s="5">
        <v>46082</v>
      </c>
      <c r="P5" s="5">
        <v>46113</v>
      </c>
      <c r="Q5" s="5">
        <v>46143</v>
      </c>
    </row>
    <row r="6" spans="1:5" ht="15">
      <c r="A6" s="6" t="s">
        <v>67</v>
      </c>
      <c r="B6" s="6" t="s">
        <v>5</v>
      </c>
      <c r="E6" s="12"/>
    </row>
    <row r="7" spans="1:17" ht="15">
      <c r="A7" t="s">
        <v>68</v>
      </c>
      <c r="B7" s="7" t="s">
        <v>6</v>
      </c>
      <c r="E7" s="13"/>
      <c r="F7" s="7">
        <v>411066</v>
      </c>
      <c r="G7" s="7">
        <v>411066</v>
      </c>
      <c r="H7" s="7">
        <v>410958.91</v>
      </c>
      <c r="I7" s="7">
        <v>411066</v>
      </c>
      <c r="J7" s="7">
        <v>408126</v>
      </c>
      <c r="K7" s="7">
        <v>382840</v>
      </c>
      <c r="L7" s="7">
        <v>399280</v>
      </c>
      <c r="M7" s="7">
        <v>399280</v>
      </c>
      <c r="N7" s="7">
        <v>399280</v>
      </c>
      <c r="O7" s="7">
        <v>399280</v>
      </c>
      <c r="P7" s="7">
        <v>399280</v>
      </c>
      <c r="Q7" s="7">
        <v>399621.56</v>
      </c>
    </row>
    <row r="8" spans="1:17" ht="15">
      <c r="A8" t="s">
        <v>69</v>
      </c>
      <c r="B8" s="7" t="s">
        <v>7</v>
      </c>
      <c r="E8" s="13"/>
      <c r="F8" s="7">
        <v>20583.03</v>
      </c>
      <c r="G8" s="7">
        <v>11961.01</v>
      </c>
      <c r="H8" s="7">
        <v>13600.91</v>
      </c>
      <c r="I8" s="7">
        <v>15114.6</v>
      </c>
      <c r="J8" s="7">
        <v>14122.39</v>
      </c>
      <c r="K8" s="7">
        <v>9321.56</v>
      </c>
      <c r="L8" s="7">
        <v>6957.65</v>
      </c>
      <c r="M8" s="7">
        <v>12511.7</v>
      </c>
      <c r="N8" s="7">
        <v>9086.17</v>
      </c>
      <c r="O8" s="7">
        <v>14414.18</v>
      </c>
      <c r="P8" s="7">
        <v>19254.24</v>
      </c>
      <c r="Q8" s="7">
        <v>10741.18</v>
      </c>
    </row>
    <row r="9" spans="1:17" ht="15">
      <c r="A9" t="s">
        <v>70</v>
      </c>
      <c r="B9" s="7" t="s">
        <v>8</v>
      </c>
      <c r="E9" s="13"/>
      <c r="F9" s="7">
        <v>28668.58</v>
      </c>
      <c r="G9" s="7">
        <v>23698.63</v>
      </c>
      <c r="H9" s="7">
        <v>30752.04</v>
      </c>
      <c r="I9" s="7">
        <v>23615.64</v>
      </c>
      <c r="J9" s="7">
        <v>29958.95</v>
      </c>
      <c r="K9" s="7">
        <v>24228.09</v>
      </c>
      <c r="L9" s="7">
        <v>28990.79</v>
      </c>
      <c r="M9" s="7">
        <v>31584.47</v>
      </c>
      <c r="N9" s="7">
        <v>26898.45</v>
      </c>
      <c r="O9" s="7">
        <v>25136.42</v>
      </c>
      <c r="P9" s="7">
        <v>30484.9</v>
      </c>
      <c r="Q9" s="7">
        <v>24561.59</v>
      </c>
    </row>
    <row r="10" spans="1:17" ht="15">
      <c r="A10" t="s">
        <v>71</v>
      </c>
      <c r="B10" s="7" t="s">
        <v>9</v>
      </c>
      <c r="E10" s="13"/>
      <c r="F10" s="7">
        <v>5531.92</v>
      </c>
      <c r="G10" s="7">
        <v>5725.36</v>
      </c>
      <c r="H10" s="7">
        <v>5357.28</v>
      </c>
      <c r="I10" s="7">
        <v>5377.29</v>
      </c>
      <c r="J10" s="7">
        <v>1814.39</v>
      </c>
      <c r="K10" s="7">
        <v>-39.81</v>
      </c>
      <c r="L10" s="7">
        <v>1280.51</v>
      </c>
      <c r="M10" s="7">
        <v>-1088.87</v>
      </c>
      <c r="N10" s="7">
        <v>11.51</v>
      </c>
      <c r="O10" s="7">
        <v>21.77</v>
      </c>
      <c r="P10" s="7">
        <v>13.92</v>
      </c>
      <c r="Q10" s="7">
        <v>14.5</v>
      </c>
    </row>
    <row r="11" spans="1:17" ht="15">
      <c r="A11" t="s">
        <v>72</v>
      </c>
      <c r="B11" s="7" t="s">
        <v>10</v>
      </c>
      <c r="E11" s="13"/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</row>
    <row r="12" spans="1:17" ht="15">
      <c r="A12" t="s">
        <v>73</v>
      </c>
      <c r="B12" s="7" t="s">
        <v>11</v>
      </c>
      <c r="E12" s="13"/>
      <c r="F12" s="7">
        <v>7970.57</v>
      </c>
      <c r="G12" s="7">
        <v>8054.47</v>
      </c>
      <c r="H12" s="7">
        <v>7708.21</v>
      </c>
      <c r="I12" s="7">
        <v>7606.84</v>
      </c>
      <c r="J12" s="7">
        <v>8713.24</v>
      </c>
      <c r="K12" s="7">
        <v>8361.17</v>
      </c>
      <c r="L12" s="7">
        <v>8868.34</v>
      </c>
      <c r="M12" s="7">
        <v>8886.77</v>
      </c>
      <c r="N12" s="7">
        <v>8602.61</v>
      </c>
      <c r="O12" s="7">
        <v>8145.36</v>
      </c>
      <c r="P12" s="7">
        <v>7783.77</v>
      </c>
      <c r="Q12" s="7">
        <v>8358.47</v>
      </c>
    </row>
    <row r="13" spans="1:17" ht="15">
      <c r="A13" t="s">
        <v>74</v>
      </c>
      <c r="B13" s="7" t="s">
        <v>12</v>
      </c>
      <c r="E13" s="13"/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</row>
    <row r="14" spans="1:17" ht="15">
      <c r="A14" t="s">
        <v>75</v>
      </c>
      <c r="B14" s="7" t="s">
        <v>13</v>
      </c>
      <c r="E14" s="13"/>
      <c r="F14" s="7">
        <v>24665.99</v>
      </c>
      <c r="G14" s="7">
        <v>25023</v>
      </c>
      <c r="H14" s="7">
        <v>24269.32</v>
      </c>
      <c r="I14" s="7">
        <v>24133.01</v>
      </c>
      <c r="J14" s="7">
        <v>24592.96</v>
      </c>
      <c r="K14" s="7">
        <v>24575.98</v>
      </c>
      <c r="L14" s="7">
        <v>24587.54</v>
      </c>
      <c r="M14" s="7">
        <v>25052.2</v>
      </c>
      <c r="N14" s="7">
        <v>24135.64</v>
      </c>
      <c r="O14" s="7">
        <v>23610.71</v>
      </c>
      <c r="P14" s="7">
        <v>22425.93</v>
      </c>
      <c r="Q14" s="7">
        <v>23355.31</v>
      </c>
    </row>
    <row r="15" spans="1:17" ht="15">
      <c r="A15" t="s">
        <v>76</v>
      </c>
      <c r="B15" s="7" t="s">
        <v>14</v>
      </c>
      <c r="E15" s="13"/>
      <c r="F15" s="7">
        <v>-54359.59</v>
      </c>
      <c r="G15" s="7">
        <v>-58725.95</v>
      </c>
      <c r="H15" s="7">
        <v>-56255.62</v>
      </c>
      <c r="I15" s="7">
        <v>-53207.97</v>
      </c>
      <c r="J15" s="7">
        <v>-53491</v>
      </c>
      <c r="K15" s="7">
        <v>-28285.27</v>
      </c>
      <c r="L15" s="7">
        <v>-44786.72</v>
      </c>
      <c r="M15" s="7">
        <v>-43319.83</v>
      </c>
      <c r="N15" s="7">
        <v>-39502.2</v>
      </c>
      <c r="O15" s="7">
        <v>-39530.79</v>
      </c>
      <c r="P15" s="7">
        <v>-41235.5</v>
      </c>
      <c r="Q15" s="7">
        <v>-48852.31</v>
      </c>
    </row>
    <row r="16" spans="1:17" ht="15">
      <c r="A16" t="s">
        <v>77</v>
      </c>
      <c r="B16" s="7" t="s">
        <v>15</v>
      </c>
      <c r="E16" s="13"/>
      <c r="F16" s="7">
        <v>-13644.83</v>
      </c>
      <c r="G16" s="7">
        <v>-12647.03</v>
      </c>
      <c r="H16" s="7">
        <v>-17405.32</v>
      </c>
      <c r="I16" s="7">
        <v>-18820.66</v>
      </c>
      <c r="J16" s="7">
        <v>-21929.52</v>
      </c>
      <c r="K16" s="7">
        <v>-19137.49</v>
      </c>
      <c r="L16" s="7">
        <v>-17369.02</v>
      </c>
      <c r="M16" s="7">
        <v>-21049.52</v>
      </c>
      <c r="N16" s="7">
        <v>-25677.5</v>
      </c>
      <c r="O16" s="7">
        <v>-34827.9</v>
      </c>
      <c r="P16" s="7">
        <v>-33436.01</v>
      </c>
      <c r="Q16" s="7">
        <v>-14918.22</v>
      </c>
    </row>
    <row r="17" spans="1:17" ht="15">
      <c r="A17" t="s">
        <v>78</v>
      </c>
      <c r="B17" s="7" t="s">
        <v>16</v>
      </c>
      <c r="E17" s="13"/>
      <c r="F17" s="7">
        <v>7149.88</v>
      </c>
      <c r="G17" s="7">
        <v>-3708.35</v>
      </c>
      <c r="H17" s="7">
        <v>-8033.58</v>
      </c>
      <c r="I17" s="7">
        <v>-10724.43</v>
      </c>
      <c r="J17" s="7">
        <v>2008.39</v>
      </c>
      <c r="K17" s="7">
        <v>-207.32</v>
      </c>
      <c r="L17" s="7">
        <v>-965.21</v>
      </c>
      <c r="M17" s="7">
        <v>-305.46</v>
      </c>
      <c r="N17" s="7">
        <v>-1285.71</v>
      </c>
      <c r="O17" s="7">
        <v>2397.96</v>
      </c>
      <c r="P17" s="7">
        <v>-2948.96</v>
      </c>
      <c r="Q17" s="7">
        <v>-1848.41</v>
      </c>
    </row>
    <row r="18" spans="1:17" ht="15">
      <c r="A18" t="s">
        <v>79</v>
      </c>
      <c r="B18" s="7" t="s">
        <v>17</v>
      </c>
      <c r="E18" s="13"/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-335</v>
      </c>
      <c r="Q18" s="7">
        <v>-335</v>
      </c>
    </row>
    <row r="19" spans="1:17" ht="15">
      <c r="A19" t="s">
        <v>80</v>
      </c>
      <c r="B19" s="7" t="s">
        <v>18</v>
      </c>
      <c r="E19" s="14"/>
      <c r="F19" s="7">
        <v>-7867.59</v>
      </c>
      <c r="G19" s="7">
        <v>-3927.09</v>
      </c>
      <c r="H19" s="7">
        <v>-600</v>
      </c>
      <c r="I19" s="7">
        <v>-1500</v>
      </c>
      <c r="J19" s="7">
        <v>-950</v>
      </c>
      <c r="K19" s="7">
        <v>-482.7</v>
      </c>
      <c r="L19" s="7">
        <v>-1272.25</v>
      </c>
      <c r="M19" s="7">
        <v>-735.99</v>
      </c>
      <c r="N19" s="7">
        <v>-1765.72</v>
      </c>
      <c r="O19" s="7">
        <v>-2586.88</v>
      </c>
      <c r="P19" s="7">
        <v>-9957.16</v>
      </c>
      <c r="Q19" s="7">
        <v>-17302.55</v>
      </c>
    </row>
    <row r="20" spans="2:17" ht="15">
      <c r="B20" s="9" t="s">
        <v>5</v>
      </c>
      <c r="C20" s="8" t="str">
        <f>IF(SUMPRODUCT((C7:C19&lt;&gt;"")*1),SUM(C7:C19),"")</f>
        <v/>
      </c>
      <c r="D20" s="8" t="str">
        <f>IF(SUMPRODUCT((D7:D19&lt;&gt;"")*1),SUM(D7:D19),"")</f>
        <v/>
      </c>
      <c r="E20" s="15" t="str">
        <f>IF(SUMPRODUCT((E7:E19&lt;&gt;"")*1),SUM(E7:E19),"")</f>
        <v/>
      </c>
      <c r="F20" s="8">
        <f>IF(SUMPRODUCT((F7:F19&lt;&gt;"")*1),SUM(F7:F19),"")</f>
        <v>429763.96</v>
      </c>
      <c r="G20" s="8">
        <f>IF(SUMPRODUCT((G7:G19&lt;&gt;"")*1),SUM(G7:G19),"")</f>
        <v>406520.05</v>
      </c>
      <c r="H20" s="8">
        <f>IF(SUMPRODUCT((H7:H19&lt;&gt;"")*1),SUM(H7:H19),"")</f>
        <v>410352.15</v>
      </c>
      <c r="I20" s="8">
        <f>IF(SUMPRODUCT((I7:I19&lt;&gt;"")*1),SUM(I7:I19),"")</f>
        <v>402660.32</v>
      </c>
      <c r="J20" s="8">
        <f>IF(SUMPRODUCT((J7:J19&lt;&gt;"")*1),SUM(J7:J19),"")</f>
        <v>412965.8</v>
      </c>
      <c r="K20" s="8">
        <f>IF(SUMPRODUCT((K7:K19&lt;&gt;"")*1),SUM(K7:K19),"")</f>
        <v>401174.21</v>
      </c>
      <c r="L20" s="8">
        <f>IF(SUMPRODUCT((L7:L19&lt;&gt;"")*1),SUM(L7:L19),"")</f>
        <v>405571.63</v>
      </c>
      <c r="M20" s="8">
        <f>IF(SUMPRODUCT((M7:M19&lt;&gt;"")*1),SUM(M7:M19),"")</f>
        <v>410815.47</v>
      </c>
      <c r="N20" s="8">
        <f>IF(SUMPRODUCT((N7:N19&lt;&gt;"")*1),SUM(N7:N19),"")</f>
        <v>399783.25</v>
      </c>
      <c r="O20" s="8">
        <f>IF(SUMPRODUCT((O7:O19&lt;&gt;"")*1),SUM(O7:O19),"")</f>
        <v>396060.83</v>
      </c>
      <c r="P20" s="8">
        <f>IF(SUMPRODUCT((P7:P19&lt;&gt;"")*1),SUM(P7:P19),"")</f>
        <v>391330.13</v>
      </c>
      <c r="Q20" s="8">
        <f>IF(SUMPRODUCT((Q7:Q19&lt;&gt;"")*1),SUM(Q7:Q19),"")</f>
        <v>383396.12</v>
      </c>
    </row>
    <row r="21" ht="12.75">
      <c r="E21" s="13"/>
    </row>
    <row r="22" spans="2:5" ht="15">
      <c r="B22" s="6" t="s">
        <v>19</v>
      </c>
      <c r="E22" s="13"/>
    </row>
    <row r="23" spans="1:17" ht="15">
      <c r="A23" t="s">
        <v>81</v>
      </c>
      <c r="B23" s="7" t="s">
        <v>20</v>
      </c>
      <c r="E23" s="13"/>
      <c r="F23" s="7">
        <v>23235.03</v>
      </c>
      <c r="G23" s="7">
        <v>20365.71</v>
      </c>
      <c r="H23" s="7">
        <v>23157.68</v>
      </c>
      <c r="I23" s="7">
        <v>23653.11</v>
      </c>
      <c r="J23" s="7">
        <v>23196.16</v>
      </c>
      <c r="K23" s="7">
        <v>23030.47</v>
      </c>
      <c r="L23" s="7">
        <v>23207.12</v>
      </c>
      <c r="M23" s="7">
        <v>23276.45</v>
      </c>
      <c r="N23" s="7">
        <v>21398.7</v>
      </c>
      <c r="O23" s="7">
        <v>21145.34</v>
      </c>
      <c r="P23" s="7">
        <v>23457.38</v>
      </c>
      <c r="Q23" s="7">
        <v>22963.66</v>
      </c>
    </row>
    <row r="24" spans="1:17" ht="15">
      <c r="A24" t="s">
        <v>82</v>
      </c>
      <c r="B24" s="7" t="s">
        <v>21</v>
      </c>
      <c r="E24" s="13"/>
      <c r="F24" s="7">
        <v>2159.81</v>
      </c>
      <c r="G24" s="7">
        <v>9387.8</v>
      </c>
      <c r="H24" s="7">
        <v>4679.89</v>
      </c>
      <c r="I24" s="7">
        <v>4323.23</v>
      </c>
      <c r="J24" s="7">
        <v>4315.42</v>
      </c>
      <c r="K24" s="7">
        <v>4559.69</v>
      </c>
      <c r="L24" s="7">
        <v>4971.75</v>
      </c>
      <c r="M24" s="7">
        <v>4611.03</v>
      </c>
      <c r="N24" s="7">
        <v>4656.13</v>
      </c>
      <c r="O24" s="7">
        <v>4286.31</v>
      </c>
      <c r="P24" s="7">
        <v>4487.7</v>
      </c>
      <c r="Q24" s="7">
        <v>4444.01</v>
      </c>
    </row>
    <row r="25" spans="1:17" ht="15">
      <c r="A25" t="s">
        <v>83</v>
      </c>
      <c r="B25" s="7" t="s">
        <v>22</v>
      </c>
      <c r="E25" s="13"/>
      <c r="F25" s="7">
        <v>0</v>
      </c>
      <c r="G25" s="7">
        <v>0</v>
      </c>
      <c r="H25" s="7">
        <v>3200</v>
      </c>
      <c r="I25" s="7">
        <v>0</v>
      </c>
      <c r="J25" s="7">
        <v>0</v>
      </c>
      <c r="K25" s="7">
        <v>3200</v>
      </c>
      <c r="L25" s="7">
        <v>5000</v>
      </c>
      <c r="M25" s="7">
        <v>0</v>
      </c>
      <c r="N25" s="7">
        <v>3200</v>
      </c>
      <c r="O25" s="7">
        <v>0</v>
      </c>
      <c r="P25" s="7">
        <v>0</v>
      </c>
      <c r="Q25" s="7">
        <v>0</v>
      </c>
    </row>
    <row r="26" spans="1:17" ht="15">
      <c r="A26" t="s">
        <v>84</v>
      </c>
      <c r="B26" s="7" t="s">
        <v>23</v>
      </c>
      <c r="E26" s="13"/>
      <c r="F26" s="7">
        <v>8293.04</v>
      </c>
      <c r="G26" s="7">
        <v>8055.35</v>
      </c>
      <c r="H26" s="7">
        <v>7242.2</v>
      </c>
      <c r="I26" s="7">
        <v>7121.62</v>
      </c>
      <c r="J26" s="7">
        <v>7121.62</v>
      </c>
      <c r="K26" s="7">
        <v>7079.84</v>
      </c>
      <c r="L26" s="7">
        <v>6802.62</v>
      </c>
      <c r="M26" s="7">
        <v>6802.62</v>
      </c>
      <c r="N26" s="7">
        <v>6802.62</v>
      </c>
      <c r="O26" s="7">
        <v>6837.13</v>
      </c>
      <c r="P26" s="7">
        <v>6802.62</v>
      </c>
      <c r="Q26" s="7">
        <v>6907.74</v>
      </c>
    </row>
    <row r="27" spans="1:17" ht="15">
      <c r="A27" t="s">
        <v>85</v>
      </c>
      <c r="B27" s="7" t="s">
        <v>24</v>
      </c>
      <c r="E27" s="13"/>
      <c r="F27" s="7">
        <v>8361.49</v>
      </c>
      <c r="G27" s="7">
        <v>21840.21</v>
      </c>
      <c r="H27" s="7">
        <v>8994.69</v>
      </c>
      <c r="I27" s="7">
        <v>9216.99</v>
      </c>
      <c r="J27" s="7">
        <v>19010.48</v>
      </c>
      <c r="K27" s="7">
        <v>14495.97</v>
      </c>
      <c r="L27" s="7">
        <v>4398.9</v>
      </c>
      <c r="M27" s="7">
        <v>11501.78</v>
      </c>
      <c r="N27" s="7">
        <v>12997.31</v>
      </c>
      <c r="O27" s="7">
        <v>9628.38</v>
      </c>
      <c r="P27" s="7">
        <v>13589.22</v>
      </c>
      <c r="Q27" s="7">
        <v>10880.82</v>
      </c>
    </row>
    <row r="28" spans="1:17" ht="15">
      <c r="A28" t="s">
        <v>86</v>
      </c>
      <c r="B28" s="7" t="s">
        <v>25</v>
      </c>
      <c r="E28" s="13"/>
      <c r="F28" s="7">
        <v>13463.29</v>
      </c>
      <c r="G28" s="7">
        <v>13466.76</v>
      </c>
      <c r="H28" s="7">
        <v>12850.93</v>
      </c>
      <c r="I28" s="7">
        <v>16515.83</v>
      </c>
      <c r="J28" s="7">
        <v>9572.55</v>
      </c>
      <c r="K28" s="7">
        <v>8862.85</v>
      </c>
      <c r="L28" s="7">
        <v>5395.19</v>
      </c>
      <c r="M28" s="7">
        <v>3543.06</v>
      </c>
      <c r="N28" s="7">
        <v>3290.1</v>
      </c>
      <c r="O28" s="7">
        <v>6327.23</v>
      </c>
      <c r="P28" s="7">
        <v>4762.21</v>
      </c>
      <c r="Q28" s="7">
        <v>5383.77</v>
      </c>
    </row>
    <row r="29" spans="1:17" ht="15">
      <c r="A29" t="s">
        <v>87</v>
      </c>
      <c r="B29" s="7" t="s">
        <v>26</v>
      </c>
      <c r="E29" s="13"/>
      <c r="F29" s="7">
        <v>3086.62</v>
      </c>
      <c r="G29" s="7">
        <v>6217.71</v>
      </c>
      <c r="H29" s="7">
        <v>2062.92</v>
      </c>
      <c r="I29" s="7">
        <v>1944.93</v>
      </c>
      <c r="J29" s="7">
        <v>3583.15</v>
      </c>
      <c r="K29" s="7">
        <v>4037.88</v>
      </c>
      <c r="L29" s="7">
        <v>3251.39</v>
      </c>
      <c r="M29" s="7">
        <v>1337.53</v>
      </c>
      <c r="N29" s="7">
        <v>4862.54</v>
      </c>
      <c r="O29" s="7">
        <v>3946.16</v>
      </c>
      <c r="P29" s="7">
        <v>2618.3</v>
      </c>
      <c r="Q29" s="7">
        <v>4155.85</v>
      </c>
    </row>
    <row r="30" spans="1:17" ht="15">
      <c r="A30" t="s">
        <v>88</v>
      </c>
      <c r="B30" s="7" t="s">
        <v>27</v>
      </c>
      <c r="E30" s="13"/>
      <c r="F30" s="7">
        <v>15739.93</v>
      </c>
      <c r="G30" s="7">
        <v>15741.24</v>
      </c>
      <c r="H30" s="7">
        <v>15927.64</v>
      </c>
      <c r="I30" s="7">
        <v>17260.55</v>
      </c>
      <c r="J30" s="7">
        <v>17171.38</v>
      </c>
      <c r="K30" s="7">
        <v>11709.19</v>
      </c>
      <c r="L30" s="7">
        <v>7259.95</v>
      </c>
      <c r="M30" s="7">
        <v>5828.52</v>
      </c>
      <c r="N30" s="7">
        <v>7833.6</v>
      </c>
      <c r="O30" s="7">
        <v>11281.49</v>
      </c>
      <c r="P30" s="7">
        <v>13802.85</v>
      </c>
      <c r="Q30" s="7">
        <v>7544.32</v>
      </c>
    </row>
    <row r="31" spans="1:17" ht="15">
      <c r="A31" t="s">
        <v>89</v>
      </c>
      <c r="B31" s="7" t="s">
        <v>28</v>
      </c>
      <c r="E31" s="13"/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</row>
    <row r="32" spans="1:17" ht="15">
      <c r="A32" t="s">
        <v>90</v>
      </c>
      <c r="B32" s="7" t="s">
        <v>29</v>
      </c>
      <c r="E32" s="13"/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</row>
    <row r="33" spans="1:17" ht="15">
      <c r="A33" t="s">
        <v>91</v>
      </c>
      <c r="B33" s="7" t="s">
        <v>30</v>
      </c>
      <c r="E33" s="13"/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</row>
    <row r="34" spans="1:17" ht="15">
      <c r="A34" t="s">
        <v>92</v>
      </c>
      <c r="B34" s="7" t="s">
        <v>31</v>
      </c>
      <c r="E34" s="13"/>
      <c r="F34" s="7">
        <v>20791.94</v>
      </c>
      <c r="G34" s="7">
        <v>18504.01</v>
      </c>
      <c r="H34" s="7">
        <v>19793.26</v>
      </c>
      <c r="I34" s="7">
        <v>18523.92</v>
      </c>
      <c r="J34" s="7">
        <v>18793.06</v>
      </c>
      <c r="K34" s="7">
        <v>18702.15</v>
      </c>
      <c r="L34" s="7">
        <v>18858.89</v>
      </c>
      <c r="M34" s="7">
        <v>18636.14</v>
      </c>
      <c r="N34" s="7">
        <v>18890.38</v>
      </c>
      <c r="O34" s="7">
        <v>19889.03</v>
      </c>
      <c r="P34" s="7">
        <v>19736.58</v>
      </c>
      <c r="Q34" s="7">
        <v>19806.26</v>
      </c>
    </row>
    <row r="35" spans="1:17" ht="15">
      <c r="A35" t="s">
        <v>93</v>
      </c>
      <c r="B35" s="7" t="s">
        <v>32</v>
      </c>
      <c r="E35" s="13"/>
      <c r="F35" s="7">
        <v>18243.79</v>
      </c>
      <c r="G35" s="7">
        <v>19265.91</v>
      </c>
      <c r="H35" s="7">
        <v>19935.31</v>
      </c>
      <c r="I35" s="7">
        <v>19102.19</v>
      </c>
      <c r="J35" s="7">
        <v>19243.51</v>
      </c>
      <c r="K35" s="7">
        <v>20260.3</v>
      </c>
      <c r="L35" s="7">
        <v>18293.41</v>
      </c>
      <c r="M35" s="7">
        <v>22805.52</v>
      </c>
      <c r="N35" s="7">
        <v>20810.93</v>
      </c>
      <c r="O35" s="7">
        <v>20829.92</v>
      </c>
      <c r="P35" s="7">
        <v>18297.5</v>
      </c>
      <c r="Q35" s="7">
        <v>20344.06</v>
      </c>
    </row>
    <row r="36" spans="1:17" ht="15">
      <c r="A36" t="s">
        <v>94</v>
      </c>
      <c r="B36" s="7" t="s">
        <v>33</v>
      </c>
      <c r="E36" s="13"/>
      <c r="F36" s="7">
        <v>1914.4</v>
      </c>
      <c r="G36" s="7">
        <v>2522.2</v>
      </c>
      <c r="H36" s="7">
        <v>2568.76</v>
      </c>
      <c r="I36" s="7">
        <v>1934.72</v>
      </c>
      <c r="J36" s="7">
        <v>1984.86</v>
      </c>
      <c r="K36" s="7">
        <v>2195.96</v>
      </c>
      <c r="L36" s="7">
        <v>2124.86</v>
      </c>
      <c r="M36" s="7">
        <v>1647.84</v>
      </c>
      <c r="N36" s="7">
        <v>1870.96</v>
      </c>
      <c r="O36" s="7">
        <v>1622.06</v>
      </c>
      <c r="P36" s="7">
        <v>1607.7</v>
      </c>
      <c r="Q36" s="7">
        <v>1989.4</v>
      </c>
    </row>
    <row r="37" spans="1:17" ht="15">
      <c r="A37" t="s">
        <v>95</v>
      </c>
      <c r="B37" s="7" t="s">
        <v>34</v>
      </c>
      <c r="E37" s="13"/>
      <c r="F37" s="7">
        <v>10347.31</v>
      </c>
      <c r="G37" s="7">
        <v>11138.53</v>
      </c>
      <c r="H37" s="7">
        <v>9921.44</v>
      </c>
      <c r="I37" s="7">
        <v>9878.14</v>
      </c>
      <c r="J37" s="7">
        <v>10063.21</v>
      </c>
      <c r="K37" s="7">
        <v>9816.04</v>
      </c>
      <c r="L37" s="7">
        <v>10371.87</v>
      </c>
      <c r="M37" s="7">
        <v>12148.53</v>
      </c>
      <c r="N37" s="7">
        <v>11725.23</v>
      </c>
      <c r="O37" s="7">
        <v>11660.28</v>
      </c>
      <c r="P37" s="7">
        <v>11518.83</v>
      </c>
      <c r="Q37" s="7">
        <v>11478.87</v>
      </c>
    </row>
    <row r="38" spans="1:17" ht="15">
      <c r="A38" t="s">
        <v>96</v>
      </c>
      <c r="B38" s="7" t="s">
        <v>35</v>
      </c>
      <c r="E38" s="13"/>
      <c r="F38" s="7">
        <v>0</v>
      </c>
      <c r="G38" s="7">
        <v>0</v>
      </c>
      <c r="H38" s="7">
        <v>0</v>
      </c>
      <c r="I38" s="7">
        <v>0</v>
      </c>
      <c r="J38" s="7">
        <v>59440</v>
      </c>
      <c r="K38" s="7">
        <v>0</v>
      </c>
      <c r="L38" s="7">
        <v>0</v>
      </c>
      <c r="M38" s="7">
        <v>0</v>
      </c>
      <c r="N38" s="7">
        <v>0</v>
      </c>
      <c r="O38" s="7">
        <v>-2264</v>
      </c>
      <c r="P38" s="7">
        <v>2264</v>
      </c>
      <c r="Q38" s="7">
        <v>0</v>
      </c>
    </row>
    <row r="39" spans="1:17" ht="15">
      <c r="A39" t="s">
        <v>97</v>
      </c>
      <c r="B39" s="7" t="s">
        <v>36</v>
      </c>
      <c r="E39" s="13"/>
      <c r="F39" s="7">
        <v>0</v>
      </c>
      <c r="G39" s="7">
        <v>0</v>
      </c>
      <c r="H39" s="7">
        <v>0</v>
      </c>
      <c r="I39" s="7">
        <v>0</v>
      </c>
      <c r="J39" s="7">
        <v>293799.55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</row>
    <row r="40" spans="1:17" ht="15">
      <c r="A40" t="s">
        <v>98</v>
      </c>
      <c r="B40" s="7" t="s">
        <v>37</v>
      </c>
      <c r="E40" s="13"/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</row>
    <row r="41" spans="1:17" ht="15">
      <c r="A41" t="s">
        <v>99</v>
      </c>
      <c r="B41" s="7" t="s">
        <v>38</v>
      </c>
      <c r="E41" s="14"/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</row>
    <row r="42" spans="2:17" ht="15">
      <c r="B42" s="9" t="s">
        <v>19</v>
      </c>
      <c r="C42" s="8" t="str">
        <f>IF(SUMPRODUCT((C23:C41&lt;&gt;"")*1),SUM(C23:C41),"")</f>
        <v/>
      </c>
      <c r="D42" s="8" t="str">
        <f>IF(SUMPRODUCT((D23:D41&lt;&gt;"")*1),SUM(D23:D41),"")</f>
        <v/>
      </c>
      <c r="E42" s="15" t="str">
        <f>IF(SUMPRODUCT((E23:E41&lt;&gt;"")*1),SUM(E23:E41),"")</f>
        <v/>
      </c>
      <c r="F42" s="8">
        <f>IF(SUMPRODUCT((F23:F41&lt;&gt;"")*1),SUM(F23:F41),"")</f>
        <v>125636.65</v>
      </c>
      <c r="G42" s="8">
        <f>IF(SUMPRODUCT((G23:G41&lt;&gt;"")*1),SUM(G23:G41),"")</f>
        <v>146505.43</v>
      </c>
      <c r="H42" s="8">
        <f>IF(SUMPRODUCT((H23:H41&lt;&gt;"")*1),SUM(H23:H41),"")</f>
        <v>130334.72</v>
      </c>
      <c r="I42" s="8">
        <f>IF(SUMPRODUCT((I23:I41&lt;&gt;"")*1),SUM(I23:I41),"")</f>
        <v>129475.23</v>
      </c>
      <c r="J42" s="8">
        <f>IF(SUMPRODUCT((J23:J41&lt;&gt;"")*1),SUM(J23:J41),"")</f>
        <v>487294.95</v>
      </c>
      <c r="K42" s="8">
        <f>IF(SUMPRODUCT((K23:K41&lt;&gt;"")*1),SUM(K23:K41),"")</f>
        <v>127950.34</v>
      </c>
      <c r="L42" s="8">
        <f>IF(SUMPRODUCT((L23:L41&lt;&gt;"")*1),SUM(L23:L41),"")</f>
        <v>109935.95</v>
      </c>
      <c r="M42" s="8">
        <f>IF(SUMPRODUCT((M23:M41&lt;&gt;"")*1),SUM(M23:M41),"")</f>
        <v>112139.02</v>
      </c>
      <c r="N42" s="8">
        <f>IF(SUMPRODUCT((N23:N41&lt;&gt;"")*1),SUM(N23:N41),"")</f>
        <v>118338.5</v>
      </c>
      <c r="O42" s="8">
        <f>IF(SUMPRODUCT((O23:O41&lt;&gt;"")*1),SUM(O23:O41),"")</f>
        <v>115189.33</v>
      </c>
      <c r="P42" s="8">
        <f>IF(SUMPRODUCT((P23:P41&lt;&gt;"")*1),SUM(P23:P41),"")</f>
        <v>122944.89</v>
      </c>
      <c r="Q42" s="8">
        <f>IF(SUMPRODUCT((Q23:Q41&lt;&gt;"")*1),SUM(Q23:Q41),"")</f>
        <v>115898.76</v>
      </c>
    </row>
    <row r="43" ht="12.75">
      <c r="E43" s="14"/>
    </row>
    <row r="44" spans="2:17" ht="15">
      <c r="B44" s="6" t="s">
        <v>39</v>
      </c>
      <c r="C44" s="8" t="str">
        <f>IFERROR(C42*-1+C20,IFERROR(C20*1,IFERROR(C42*-1*1,"")))</f>
        <v/>
      </c>
      <c r="D44" s="8" t="str">
        <f>IFERROR(D42*-1+D20,IFERROR(D20*1,IFERROR(D42*-1*1,"")))</f>
        <v/>
      </c>
      <c r="E44" s="15" t="str">
        <f>IFERROR(E42*-1+E20,IFERROR(E20*1,IFERROR(E42*-1*1,"")))</f>
        <v/>
      </c>
      <c r="F44" s="8">
        <f>IFERROR(F42*-1+F20,IFERROR(F20*1,IFERROR(F42*-1*1,"")))</f>
        <v>304127.31</v>
      </c>
      <c r="G44" s="8">
        <f>IFERROR(G42*-1+G20,IFERROR(G20*1,IFERROR(G42*-1*1,"")))</f>
        <v>260014.62</v>
      </c>
      <c r="H44" s="8">
        <f>IFERROR(H42*-1+H20,IFERROR(H20*1,IFERROR(H42*-1*1,"")))</f>
        <v>280017.43</v>
      </c>
      <c r="I44" s="8">
        <f>IFERROR(I42*-1+I20,IFERROR(I20*1,IFERROR(I42*-1*1,"")))</f>
        <v>273185.09</v>
      </c>
      <c r="J44" s="8">
        <f>IFERROR(J42*-1+J20,IFERROR(J20*1,IFERROR(J42*-1*1,"")))</f>
        <v>-74329.15</v>
      </c>
      <c r="K44" s="8">
        <f>IFERROR(K42*-1+K20,IFERROR(K20*1,IFERROR(K42*-1*1,"")))</f>
        <v>273223.87</v>
      </c>
      <c r="L44" s="8">
        <f>IFERROR(L42*-1+L20,IFERROR(L20*1,IFERROR(L42*-1*1,"")))</f>
        <v>295635.68</v>
      </c>
      <c r="M44" s="8">
        <f>IFERROR(M42*-1+M20,IFERROR(M20*1,IFERROR(M42*-1*1,"")))</f>
        <v>298676.45</v>
      </c>
      <c r="N44" s="8">
        <f>IFERROR(N42*-1+N20,IFERROR(N20*1,IFERROR(N42*-1*1,"")))</f>
        <v>281444.75</v>
      </c>
      <c r="O44" s="8">
        <f>IFERROR(O42*-1+O20,IFERROR(O20*1,IFERROR(O42*-1*1,"")))</f>
        <v>280871.5</v>
      </c>
      <c r="P44" s="8">
        <f>IFERROR(P42*-1+P20,IFERROR(P20*1,IFERROR(P42*-1*1,"")))</f>
        <v>268385.24</v>
      </c>
      <c r="Q44" s="8">
        <f>IFERROR(Q42*-1+Q20,IFERROR(Q20*1,IFERROR(Q42*-1*1,"")))</f>
        <v>267497.36</v>
      </c>
    </row>
    <row r="45" ht="12.75">
      <c r="E45" s="13"/>
    </row>
    <row r="46" spans="2:5" ht="15">
      <c r="B46" s="6" t="s">
        <v>40</v>
      </c>
      <c r="E46" s="13"/>
    </row>
    <row r="47" spans="1:17" ht="15">
      <c r="A47" t="s">
        <v>100</v>
      </c>
      <c r="B47" s="7" t="s">
        <v>41</v>
      </c>
      <c r="E47" s="14"/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</row>
    <row r="48" spans="2:17" ht="15">
      <c r="B48" s="9" t="s">
        <v>40</v>
      </c>
      <c r="C48" s="8" t="str">
        <f>IF(SUMPRODUCT((C47:C47&lt;&gt;"")*1),SUM(C47:C47),"")</f>
        <v/>
      </c>
      <c r="D48" s="8" t="str">
        <f>IF(SUMPRODUCT((D47:D47&lt;&gt;"")*1),SUM(D47:D47),"")</f>
        <v/>
      </c>
      <c r="E48" s="15" t="str">
        <f>IF(SUMPRODUCT((E47:E47&lt;&gt;"")*1),SUM(E47:E47),"")</f>
        <v/>
      </c>
      <c r="F48" s="8">
        <f>IF(SUMPRODUCT((F47:F47&lt;&gt;"")*1),SUM(F47:F47),"")</f>
        <v>0</v>
      </c>
      <c r="G48" s="8">
        <f>IF(SUMPRODUCT((G47:G47&lt;&gt;"")*1),SUM(G47:G47),"")</f>
        <v>0</v>
      </c>
      <c r="H48" s="8">
        <f>IF(SUMPRODUCT((H47:H47&lt;&gt;"")*1),SUM(H47:H47),"")</f>
        <v>0</v>
      </c>
      <c r="I48" s="8">
        <f>IF(SUMPRODUCT((I47:I47&lt;&gt;"")*1),SUM(I47:I47),"")</f>
        <v>0</v>
      </c>
      <c r="J48" s="8">
        <f>IF(SUMPRODUCT((J47:J47&lt;&gt;"")*1),SUM(J47:J47),"")</f>
        <v>0</v>
      </c>
      <c r="K48" s="8">
        <f>IF(SUMPRODUCT((K47:K47&lt;&gt;"")*1),SUM(K47:K47),"")</f>
        <v>0</v>
      </c>
      <c r="L48" s="8">
        <f>IF(SUMPRODUCT((L47:L47&lt;&gt;"")*1),SUM(L47:L47),"")</f>
        <v>0</v>
      </c>
      <c r="M48" s="8">
        <f>IF(SUMPRODUCT((M47:M47&lt;&gt;"")*1),SUM(M47:M47),"")</f>
        <v>0</v>
      </c>
      <c r="N48" s="8">
        <f>IF(SUMPRODUCT((N47:N47&lt;&gt;"")*1),SUM(N47:N47),"")</f>
        <v>0</v>
      </c>
      <c r="O48" s="8">
        <f>IF(SUMPRODUCT((O47:O47&lt;&gt;"")*1),SUM(O47:O47),"")</f>
        <v>0</v>
      </c>
      <c r="P48" s="8">
        <f>IF(SUMPRODUCT((P47:P47&lt;&gt;"")*1),SUM(P47:P47),"")</f>
        <v>0</v>
      </c>
      <c r="Q48" s="8">
        <f>IF(SUMPRODUCT((Q47:Q47&lt;&gt;"")*1),SUM(Q47:Q47),"")</f>
        <v>0</v>
      </c>
    </row>
    <row r="49" ht="15" customHeight="1">
      <c r="E49" s="13"/>
    </row>
    <row r="50" spans="2:5" ht="15">
      <c r="B50" s="6" t="s">
        <v>42</v>
      </c>
      <c r="E50" s="13"/>
    </row>
    <row r="51" spans="1:17" ht="15">
      <c r="A51" t="s">
        <v>101</v>
      </c>
      <c r="B51" s="7" t="s">
        <v>43</v>
      </c>
      <c r="E51" s="13"/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</row>
    <row r="52" spans="1:17" ht="15">
      <c r="A52" t="s">
        <v>102</v>
      </c>
      <c r="B52" s="7" t="s">
        <v>44</v>
      </c>
      <c r="E52" s="13"/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</row>
    <row r="53" spans="1:17" ht="15">
      <c r="A53" t="s">
        <v>103</v>
      </c>
      <c r="B53" s="7" t="s">
        <v>45</v>
      </c>
      <c r="E53" s="13"/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</row>
    <row r="54" spans="1:17" ht="15">
      <c r="A54" t="s">
        <v>104</v>
      </c>
      <c r="B54" s="7" t="s">
        <v>46</v>
      </c>
      <c r="E54" s="13"/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</row>
    <row r="55" spans="1:17" ht="15">
      <c r="A55" t="s">
        <v>105</v>
      </c>
      <c r="B55" s="7" t="s">
        <v>47</v>
      </c>
      <c r="E55" s="13"/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</row>
    <row r="56" spans="1:17" ht="15">
      <c r="A56" t="s">
        <v>106</v>
      </c>
      <c r="B56" s="7" t="s">
        <v>48</v>
      </c>
      <c r="E56" s="13"/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</row>
    <row r="57" spans="1:17" ht="15">
      <c r="A57" t="s">
        <v>107</v>
      </c>
      <c r="B57" s="7" t="s">
        <v>49</v>
      </c>
      <c r="E57" s="13"/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</row>
    <row r="58" spans="1:17" ht="15">
      <c r="A58" t="s">
        <v>108</v>
      </c>
      <c r="B58" s="7" t="s">
        <v>50</v>
      </c>
      <c r="E58" s="13"/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</row>
    <row r="59" spans="1:17" ht="15">
      <c r="A59" t="s">
        <v>109</v>
      </c>
      <c r="B59" s="7" t="s">
        <v>51</v>
      </c>
      <c r="E59" s="13"/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</row>
    <row r="60" spans="1:17" ht="15">
      <c r="A60" t="s">
        <v>110</v>
      </c>
      <c r="B60" s="7" t="s">
        <v>52</v>
      </c>
      <c r="E60" s="13"/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</row>
    <row r="61" spans="1:17" ht="15">
      <c r="A61" t="s">
        <v>111</v>
      </c>
      <c r="B61" s="7" t="s">
        <v>53</v>
      </c>
      <c r="E61" s="13"/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</row>
    <row r="62" spans="1:17" ht="15">
      <c r="A62" t="s">
        <v>112</v>
      </c>
      <c r="B62" s="7" t="s">
        <v>54</v>
      </c>
      <c r="E62" s="13"/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</row>
    <row r="63" spans="1:17" ht="15">
      <c r="A63" t="s">
        <v>113</v>
      </c>
      <c r="B63" s="7" t="s">
        <v>55</v>
      </c>
      <c r="E63" s="13"/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</row>
    <row r="64" spans="1:17" ht="15">
      <c r="A64" t="s">
        <v>114</v>
      </c>
      <c r="B64" s="7" t="s">
        <v>56</v>
      </c>
      <c r="E64" s="13"/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</row>
    <row r="65" spans="1:17" ht="15">
      <c r="A65" t="s">
        <v>115</v>
      </c>
      <c r="B65" s="7" t="s">
        <v>57</v>
      </c>
      <c r="E65" s="13"/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</row>
    <row r="66" spans="1:17" ht="15">
      <c r="A66" t="s">
        <v>116</v>
      </c>
      <c r="B66" s="7" t="s">
        <v>58</v>
      </c>
      <c r="E66" s="13"/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</row>
    <row r="67" spans="1:17" ht="15">
      <c r="A67" t="s">
        <v>117</v>
      </c>
      <c r="B67" s="7" t="s">
        <v>59</v>
      </c>
      <c r="E67" s="13"/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</row>
    <row r="68" spans="1:17" ht="15">
      <c r="A68" t="s">
        <v>118</v>
      </c>
      <c r="B68" s="7" t="s">
        <v>60</v>
      </c>
      <c r="E68" s="13"/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</row>
    <row r="69" spans="1:17" ht="15">
      <c r="A69" t="s">
        <v>119</v>
      </c>
      <c r="B69" s="7" t="s">
        <v>61</v>
      </c>
      <c r="E69" s="13"/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</row>
    <row r="70" spans="1:17" ht="15">
      <c r="A70" t="s">
        <v>120</v>
      </c>
      <c r="B70" s="7" t="s">
        <v>62</v>
      </c>
      <c r="E70" s="13"/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</row>
    <row r="71" spans="1:17" ht="15">
      <c r="A71" t="s">
        <v>121</v>
      </c>
      <c r="B71" s="7" t="s">
        <v>63</v>
      </c>
      <c r="E71" s="13"/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</row>
    <row r="72" spans="1:17" ht="15">
      <c r="A72" t="s">
        <v>122</v>
      </c>
      <c r="B72" s="7" t="s">
        <v>64</v>
      </c>
      <c r="E72" s="14"/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</row>
    <row r="73" spans="2:17" ht="15">
      <c r="B73" s="9" t="s">
        <v>42</v>
      </c>
      <c r="C73" s="8" t="str">
        <f>IF(SUMPRODUCT((C51:C72&lt;&gt;"")*1),SUM(C51:C72),"")</f>
        <v/>
      </c>
      <c r="D73" s="8" t="str">
        <f>IF(SUMPRODUCT((D51:D72&lt;&gt;"")*1),SUM(D51:D72),"")</f>
        <v/>
      </c>
      <c r="E73" s="15" t="str">
        <f>IF(SUMPRODUCT((E51:E72&lt;&gt;"")*1),SUM(E51:E72),"")</f>
        <v/>
      </c>
      <c r="F73" s="8">
        <f>IF(SUMPRODUCT((F51:F72&lt;&gt;"")*1),SUM(F51:F72),"")</f>
        <v>0</v>
      </c>
      <c r="G73" s="8">
        <f>IF(SUMPRODUCT((G51:G72&lt;&gt;"")*1),SUM(G51:G72),"")</f>
        <v>0</v>
      </c>
      <c r="H73" s="8">
        <f>IF(SUMPRODUCT((H51:H72&lt;&gt;"")*1),SUM(H51:H72),"")</f>
        <v>0</v>
      </c>
      <c r="I73" s="8">
        <f>IF(SUMPRODUCT((I51:I72&lt;&gt;"")*1),SUM(I51:I72),"")</f>
        <v>0</v>
      </c>
      <c r="J73" s="8">
        <f>IF(SUMPRODUCT((J51:J72&lt;&gt;"")*1),SUM(J51:J72),"")</f>
        <v>0</v>
      </c>
      <c r="K73" s="8">
        <f>IF(SUMPRODUCT((K51:K72&lt;&gt;"")*1),SUM(K51:K72),"")</f>
        <v>0</v>
      </c>
      <c r="L73" s="8">
        <f>IF(SUMPRODUCT((L51:L72&lt;&gt;"")*1),SUM(L51:L72),"")</f>
        <v>0</v>
      </c>
      <c r="M73" s="8">
        <f>IF(SUMPRODUCT((M51:M72&lt;&gt;"")*1),SUM(M51:M72),"")</f>
        <v>0</v>
      </c>
      <c r="N73" s="8">
        <f>IF(SUMPRODUCT((N51:N72&lt;&gt;"")*1),SUM(N51:N72),"")</f>
        <v>0</v>
      </c>
      <c r="O73" s="8">
        <f>IF(SUMPRODUCT((O51:O72&lt;&gt;"")*1),SUM(O51:O72),"")</f>
        <v>0</v>
      </c>
      <c r="P73" s="8">
        <f>IF(SUMPRODUCT((P51:P72&lt;&gt;"")*1),SUM(P51:P72),"")</f>
        <v>0</v>
      </c>
      <c r="Q73" s="8">
        <f>IF(SUMPRODUCT((Q51:Q72&lt;&gt;"")*1),SUM(Q51:Q72),"")</f>
        <v>0</v>
      </c>
    </row>
    <row r="74" ht="15" customHeight="1">
      <c r="E74" s="14"/>
    </row>
    <row r="75" spans="2:17" ht="15">
      <c r="B75" s="6" t="s">
        <v>65</v>
      </c>
      <c r="C75" s="10" t="str">
        <f>IFERROR(C42*-1+C20+C73*-1+C48,IFERROR(C20*1,IFERROR(C42*-1*1,"")))</f>
        <v/>
      </c>
      <c r="D75" s="10" t="str">
        <f>IFERROR(D42*-1+D20+D73*-1+D48,IFERROR(D20*1,IFERROR(D42*-1*1,"")))</f>
        <v/>
      </c>
      <c r="E75" s="16" t="str">
        <f>IFERROR(E42*-1+E20+E73*-1+E48,IFERROR(E20*1,IFERROR(E42*-1*1,"")))</f>
        <v/>
      </c>
      <c r="F75" s="10">
        <f>IFERROR(F42*-1+F20+F73*-1+F48,IFERROR(F20*1,IFERROR(F42*-1*1,"")))</f>
        <v>304127.31</v>
      </c>
      <c r="G75" s="10">
        <f>IFERROR(G42*-1+G20+G73*-1+G48,IFERROR(G20*1,IFERROR(G42*-1*1,"")))</f>
        <v>260014.62</v>
      </c>
      <c r="H75" s="10">
        <f>IFERROR(H42*-1+H20+H73*-1+H48,IFERROR(H20*1,IFERROR(H42*-1*1,"")))</f>
        <v>280017.43</v>
      </c>
      <c r="I75" s="10">
        <f>IFERROR(I42*-1+I20+I73*-1+I48,IFERROR(I20*1,IFERROR(I42*-1*1,"")))</f>
        <v>273185.09</v>
      </c>
      <c r="J75" s="10">
        <f>IFERROR(J42*-1+J20+J73*-1+J48,IFERROR(J20*1,IFERROR(J42*-1*1,"")))</f>
        <v>-74329.15</v>
      </c>
      <c r="K75" s="10">
        <f>IFERROR(K42*-1+K20+K73*-1+K48,IFERROR(K20*1,IFERROR(K42*-1*1,"")))</f>
        <v>273223.87</v>
      </c>
      <c r="L75" s="10">
        <f>IFERROR(L42*-1+L20+L73*-1+L48,IFERROR(L20*1,IFERROR(L42*-1*1,"")))</f>
        <v>295635.68</v>
      </c>
      <c r="M75" s="10">
        <f>IFERROR(M42*-1+M20+M73*-1+M48,IFERROR(M20*1,IFERROR(M42*-1*1,"")))</f>
        <v>298676.45</v>
      </c>
      <c r="N75" s="10">
        <f>IFERROR(N42*-1+N20+N73*-1+N48,IFERROR(N20*1,IFERROR(N42*-1*1,"")))</f>
        <v>281444.75</v>
      </c>
      <c r="O75" s="10">
        <f>IFERROR(O42*-1+O20+O73*-1+O48,IFERROR(O20*1,IFERROR(O42*-1*1,"")))</f>
        <v>280871.5</v>
      </c>
      <c r="P75" s="10">
        <f>IFERROR(P42*-1+P20+P73*-1+P48,IFERROR(P20*1,IFERROR(P42*-1*1,"")))</f>
        <v>268385.24</v>
      </c>
      <c r="Q75" s="10">
        <f>IFERROR(Q42*-1+Q20+Q73*-1+Q48,IFERROR(Q20*1,IFERROR(Q42*-1*1,"")))</f>
        <v>267497.36</v>
      </c>
    </row>
    <row r="77" ht="12.75">
      <c r="B77" s="3" t="s">
        <v>66</v>
      </c>
    </row>
  </sheetData>
  <pageMargins left="0.75" right="0.75" top="1" bottom="1" header="0.5" footer="0.5"/>
  <pageSetup horizontalDpi="600" verticalDpi="600" orientation="portrait" paperSize="9"/>
  <headerFooter alignWithMargins="0">
    <oddFooter>&amp;L&amp;F&amp;C&amp;P of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2:O148"/>
  <sheetViews>
    <sheetView showGridLines="0" workbookViewId="0" topLeftCell="A1">
      <pane xSplit="3" ySplit="3" topLeftCell="D4" activePane="bottomRight" state="frozen"/>
      <selection pane="topLeft" activeCell="A1" sqref="A1"/>
      <selection pane="bottomLeft" activeCell="A4" sqref="A4"/>
      <selection pane="topRight" activeCell="D1" sqref="D1"/>
      <selection pane="bottomRight" activeCell="A1" sqref="A1"/>
    </sheetView>
  </sheetViews>
  <sheetFormatPr defaultColWidth="9.14285714285714" defaultRowHeight="12.75"/>
  <cols>
    <col min="1" max="1" width="10.4285714285714" customWidth="1"/>
    <col min="2" max="2" width="27.5714285714286" customWidth="1"/>
    <col min="3" max="3" width="42.2857142857143" customWidth="1"/>
  </cols>
  <sheetData>
    <row r="2" spans="4:15" ht="15"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</row>
    <row r="3" spans="1:15" ht="15">
      <c r="A3" s="6" t="s">
        <v>67</v>
      </c>
      <c r="B3" s="6" t="s">
        <v>123</v>
      </c>
      <c r="C3" s="6" t="s">
        <v>124</v>
      </c>
      <c r="D3" s="17">
        <v>45809</v>
      </c>
      <c r="E3" s="17">
        <v>45839</v>
      </c>
      <c r="F3" s="17">
        <v>45870</v>
      </c>
      <c r="G3" s="17">
        <v>45901</v>
      </c>
      <c r="H3" s="17">
        <v>45931</v>
      </c>
      <c r="I3" s="17">
        <v>45962</v>
      </c>
      <c r="J3" s="17">
        <v>45992</v>
      </c>
      <c r="K3" s="17">
        <v>46023</v>
      </c>
      <c r="L3" s="17">
        <v>46054</v>
      </c>
      <c r="M3" s="17">
        <v>46082</v>
      </c>
      <c r="N3" s="17">
        <v>46113</v>
      </c>
      <c r="O3" s="17">
        <v>46143</v>
      </c>
    </row>
    <row r="5" spans="1:15" s="19" customFormat="1" ht="15">
      <c r="A5" s="18"/>
      <c r="B5" s="18"/>
      <c r="C5" s="18" t="s">
        <v>125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spans="1:15" s="19" customFormat="1" ht="15">
      <c r="A6" s="18"/>
      <c r="B6" s="18"/>
      <c r="C6" s="18" t="s">
        <v>126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</row>
    <row r="7" spans="1:15" s="21" customFormat="1" ht="15">
      <c r="A7" s="20" t="s">
        <v>68</v>
      </c>
      <c r="B7" s="20" t="s">
        <v>6</v>
      </c>
      <c r="C7" s="20" t="s">
        <v>127</v>
      </c>
      <c r="D7" s="22">
        <v>409765</v>
      </c>
      <c r="E7" s="22">
        <v>409765</v>
      </c>
      <c r="F7" s="22">
        <v>409657.91</v>
      </c>
      <c r="G7" s="22">
        <v>409765</v>
      </c>
      <c r="H7" s="22">
        <v>406825</v>
      </c>
      <c r="I7" s="22">
        <v>382840</v>
      </c>
      <c r="J7" s="22">
        <v>399280</v>
      </c>
      <c r="K7" s="22">
        <v>399280</v>
      </c>
      <c r="L7" s="22">
        <v>399280</v>
      </c>
      <c r="M7" s="22">
        <v>399280</v>
      </c>
      <c r="N7" s="22">
        <v>399280</v>
      </c>
      <c r="O7" s="22">
        <v>399621.56</v>
      </c>
    </row>
    <row r="8" spans="1:15" s="21" customFormat="1" ht="15">
      <c r="A8" s="20" t="s">
        <v>76</v>
      </c>
      <c r="B8" s="20" t="s">
        <v>14</v>
      </c>
      <c r="C8" s="20" t="s">
        <v>128</v>
      </c>
      <c r="D8" s="22">
        <v>-54359.59</v>
      </c>
      <c r="E8" s="22">
        <v>-58725.95</v>
      </c>
      <c r="F8" s="22">
        <v>-56255.62</v>
      </c>
      <c r="G8" s="22">
        <v>-53207.97</v>
      </c>
      <c r="H8" s="22">
        <v>-53491</v>
      </c>
      <c r="I8" s="22">
        <v>-28285.27</v>
      </c>
      <c r="J8" s="22">
        <v>-44786.72</v>
      </c>
      <c r="K8" s="22">
        <v>-43319.83</v>
      </c>
      <c r="L8" s="22">
        <v>-39502.2</v>
      </c>
      <c r="M8" s="22">
        <v>-39530.79</v>
      </c>
      <c r="N8" s="22">
        <v>-41235.5</v>
      </c>
      <c r="O8" s="22">
        <v>-48852.31</v>
      </c>
    </row>
    <row r="9" spans="1:15" s="21" customFormat="1" ht="15">
      <c r="A9" s="20" t="s">
        <v>68</v>
      </c>
      <c r="B9" s="20" t="s">
        <v>6</v>
      </c>
      <c r="C9" s="20" t="s">
        <v>129</v>
      </c>
      <c r="D9" s="22">
        <v>1301</v>
      </c>
      <c r="E9" s="22">
        <v>1301</v>
      </c>
      <c r="F9" s="22">
        <v>1301</v>
      </c>
      <c r="G9" s="22">
        <v>1301</v>
      </c>
      <c r="H9" s="22">
        <v>1301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</row>
    <row r="10" spans="1:15" s="21" customFormat="1" ht="15">
      <c r="A10" s="20"/>
      <c r="B10" s="20"/>
      <c r="C10" s="20" t="s">
        <v>130</v>
      </c>
      <c r="D10" s="22">
        <v>356706.41</v>
      </c>
      <c r="E10" s="22">
        <v>352340.05</v>
      </c>
      <c r="F10" s="22">
        <v>354703.29</v>
      </c>
      <c r="G10" s="22">
        <v>357858.03</v>
      </c>
      <c r="H10" s="22">
        <v>354635</v>
      </c>
      <c r="I10" s="22">
        <v>354554.73</v>
      </c>
      <c r="J10" s="22">
        <v>354493.28</v>
      </c>
      <c r="K10" s="22">
        <v>355960.17</v>
      </c>
      <c r="L10" s="22">
        <v>359777.8</v>
      </c>
      <c r="M10" s="22">
        <v>359749.21</v>
      </c>
      <c r="N10" s="22">
        <v>358044.5</v>
      </c>
      <c r="O10" s="22">
        <v>350769.25</v>
      </c>
    </row>
    <row r="11" spans="1:15" s="19" customFormat="1" ht="15">
      <c r="A11" s="18"/>
      <c r="B11" s="18"/>
      <c r="C11" s="18" t="s">
        <v>131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</row>
    <row r="12" spans="1:15" s="21" customFormat="1" ht="15">
      <c r="A12" s="20" t="s">
        <v>77</v>
      </c>
      <c r="B12" s="20" t="s">
        <v>15</v>
      </c>
      <c r="C12" s="20" t="s">
        <v>132</v>
      </c>
      <c r="D12" s="22">
        <v>-13644.83</v>
      </c>
      <c r="E12" s="22">
        <v>-12647.03</v>
      </c>
      <c r="F12" s="22">
        <v>-17405.32</v>
      </c>
      <c r="G12" s="22">
        <v>-18820.66</v>
      </c>
      <c r="H12" s="22">
        <v>-21929.52</v>
      </c>
      <c r="I12" s="22">
        <v>-19137.49</v>
      </c>
      <c r="J12" s="22">
        <v>-17369.02</v>
      </c>
      <c r="K12" s="22">
        <v>-21049.52</v>
      </c>
      <c r="L12" s="22">
        <v>-25677.5</v>
      </c>
      <c r="M12" s="22">
        <v>-34827.9</v>
      </c>
      <c r="N12" s="22">
        <v>-33436.01</v>
      </c>
      <c r="O12" s="22">
        <v>-14918.22</v>
      </c>
    </row>
    <row r="13" spans="1:15" s="21" customFormat="1" ht="15">
      <c r="A13" s="20" t="s">
        <v>78</v>
      </c>
      <c r="B13" s="20" t="s">
        <v>16</v>
      </c>
      <c r="C13" s="20" t="s">
        <v>133</v>
      </c>
      <c r="D13" s="22">
        <v>7149.88</v>
      </c>
      <c r="E13" s="22">
        <v>-3708.35</v>
      </c>
      <c r="F13" s="22">
        <v>-8033.58</v>
      </c>
      <c r="G13" s="22">
        <v>-10724.43</v>
      </c>
      <c r="H13" s="22">
        <v>2008.39</v>
      </c>
      <c r="I13" s="22">
        <v>-207.32</v>
      </c>
      <c r="J13" s="22">
        <v>-965.21</v>
      </c>
      <c r="K13" s="22">
        <v>-1721.17</v>
      </c>
      <c r="L13" s="22">
        <v>-1261.98</v>
      </c>
      <c r="M13" s="22">
        <v>-198.23</v>
      </c>
      <c r="N13" s="22">
        <v>-3028.3</v>
      </c>
      <c r="O13" s="22">
        <v>-1980.98</v>
      </c>
    </row>
    <row r="14" spans="1:15" s="21" customFormat="1" ht="15">
      <c r="A14" s="20" t="s">
        <v>78</v>
      </c>
      <c r="B14" s="20" t="s">
        <v>16</v>
      </c>
      <c r="C14" s="20" t="s">
        <v>134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1415.71</v>
      </c>
      <c r="L14" s="22">
        <v>0</v>
      </c>
      <c r="M14" s="22">
        <v>2566.04</v>
      </c>
      <c r="N14" s="22">
        <v>49.19</v>
      </c>
      <c r="O14" s="22">
        <v>102.57</v>
      </c>
    </row>
    <row r="15" spans="1:15" s="21" customFormat="1" ht="15">
      <c r="A15" s="20" t="s">
        <v>80</v>
      </c>
      <c r="B15" s="20" t="s">
        <v>18</v>
      </c>
      <c r="C15" s="20" t="s">
        <v>135</v>
      </c>
      <c r="D15" s="22">
        <v>-7867.59</v>
      </c>
      <c r="E15" s="22">
        <v>-3927.09</v>
      </c>
      <c r="F15" s="22">
        <v>-600</v>
      </c>
      <c r="G15" s="22">
        <v>-1500</v>
      </c>
      <c r="H15" s="22">
        <v>-950</v>
      </c>
      <c r="I15" s="22">
        <v>-482.7</v>
      </c>
      <c r="J15" s="22">
        <v>-1272.25</v>
      </c>
      <c r="K15" s="22">
        <v>-735.99</v>
      </c>
      <c r="L15" s="22">
        <v>-1765.72</v>
      </c>
      <c r="M15" s="22">
        <v>-2586.88</v>
      </c>
      <c r="N15" s="22">
        <v>-9957.16</v>
      </c>
      <c r="O15" s="22">
        <v>-17302.55</v>
      </c>
    </row>
    <row r="16" spans="1:15" s="21" customFormat="1" ht="15">
      <c r="A16" s="20" t="s">
        <v>80</v>
      </c>
      <c r="B16" s="20" t="s">
        <v>18</v>
      </c>
      <c r="C16" s="20" t="s">
        <v>136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</row>
    <row r="17" spans="1:15" s="21" customFormat="1" ht="15">
      <c r="A17" s="20" t="s">
        <v>79</v>
      </c>
      <c r="B17" s="20" t="s">
        <v>17</v>
      </c>
      <c r="C17" s="20" t="s">
        <v>137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-335</v>
      </c>
      <c r="O17" s="22">
        <v>-335</v>
      </c>
    </row>
    <row r="18" spans="1:15" s="21" customFormat="1" ht="15">
      <c r="A18" s="20" t="s">
        <v>80</v>
      </c>
      <c r="B18" s="20" t="s">
        <v>18</v>
      </c>
      <c r="C18" s="20" t="s">
        <v>138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</row>
    <row r="19" spans="1:15" s="21" customFormat="1" ht="15">
      <c r="A19" s="20"/>
      <c r="B19" s="20"/>
      <c r="C19" s="20" t="s">
        <v>139</v>
      </c>
      <c r="D19" s="22">
        <v>-14362.54</v>
      </c>
      <c r="E19" s="22">
        <v>-20282.47</v>
      </c>
      <c r="F19" s="22">
        <v>-26038.9</v>
      </c>
      <c r="G19" s="22">
        <v>-31045.09</v>
      </c>
      <c r="H19" s="22">
        <v>-20871.13</v>
      </c>
      <c r="I19" s="22">
        <v>-19827.51</v>
      </c>
      <c r="J19" s="22">
        <v>-19606.48</v>
      </c>
      <c r="K19" s="22">
        <v>-22090.97</v>
      </c>
      <c r="L19" s="22">
        <v>-28705.2</v>
      </c>
      <c r="M19" s="22">
        <v>-35046.97</v>
      </c>
      <c r="N19" s="22">
        <v>-46707.28</v>
      </c>
      <c r="O19" s="22">
        <v>-34434.18</v>
      </c>
    </row>
    <row r="20" spans="1:15" s="19" customFormat="1" ht="15">
      <c r="A20" s="18"/>
      <c r="B20" s="18"/>
      <c r="C20" s="18" t="s">
        <v>140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1:15" s="21" customFormat="1" ht="15">
      <c r="A21" s="20" t="s">
        <v>69</v>
      </c>
      <c r="B21" s="20" t="s">
        <v>7</v>
      </c>
      <c r="C21" s="20" t="s">
        <v>141</v>
      </c>
      <c r="D21" s="22">
        <v>300</v>
      </c>
      <c r="E21" s="22">
        <v>325.15</v>
      </c>
      <c r="F21" s="22">
        <v>338.08</v>
      </c>
      <c r="G21" s="22">
        <v>675</v>
      </c>
      <c r="H21" s="22">
        <v>523.06</v>
      </c>
      <c r="I21" s="22">
        <v>600</v>
      </c>
      <c r="J21" s="22">
        <v>408.23</v>
      </c>
      <c r="K21" s="22">
        <v>300</v>
      </c>
      <c r="L21" s="22">
        <v>419.35</v>
      </c>
      <c r="M21" s="22">
        <v>459.68</v>
      </c>
      <c r="N21" s="22">
        <v>600</v>
      </c>
      <c r="O21" s="22">
        <v>900</v>
      </c>
    </row>
    <row r="22" spans="1:15" s="21" customFormat="1" ht="15">
      <c r="A22" s="20" t="s">
        <v>73</v>
      </c>
      <c r="B22" s="20" t="s">
        <v>11</v>
      </c>
      <c r="C22" s="20" t="s">
        <v>142</v>
      </c>
      <c r="D22" s="22">
        <v>3763.75</v>
      </c>
      <c r="E22" s="22">
        <v>4082.21</v>
      </c>
      <c r="F22" s="22">
        <v>4099.82</v>
      </c>
      <c r="G22" s="22">
        <v>4138.84</v>
      </c>
      <c r="H22" s="22">
        <v>4385.5</v>
      </c>
      <c r="I22" s="22">
        <v>4286.64</v>
      </c>
      <c r="J22" s="22">
        <v>4443.5</v>
      </c>
      <c r="K22" s="22">
        <v>4541.77</v>
      </c>
      <c r="L22" s="22">
        <v>4211.26</v>
      </c>
      <c r="M22" s="22">
        <v>4009.93</v>
      </c>
      <c r="N22" s="22">
        <v>3965.23</v>
      </c>
      <c r="O22" s="22">
        <v>3930.71</v>
      </c>
    </row>
    <row r="23" spans="1:15" s="21" customFormat="1" ht="15">
      <c r="A23" s="20" t="s">
        <v>73</v>
      </c>
      <c r="B23" s="20" t="s">
        <v>11</v>
      </c>
      <c r="C23" s="20" t="s">
        <v>143</v>
      </c>
      <c r="D23" s="22">
        <v>2024.9</v>
      </c>
      <c r="E23" s="22">
        <v>1512.58</v>
      </c>
      <c r="F23" s="22">
        <v>1618.07</v>
      </c>
      <c r="G23" s="22">
        <v>1618</v>
      </c>
      <c r="H23" s="22">
        <v>1703.55</v>
      </c>
      <c r="I23" s="22">
        <v>1771.3</v>
      </c>
      <c r="J23" s="22">
        <v>1920</v>
      </c>
      <c r="K23" s="22">
        <v>1895</v>
      </c>
      <c r="L23" s="22">
        <v>1945</v>
      </c>
      <c r="M23" s="22">
        <v>1831.78</v>
      </c>
      <c r="N23" s="22">
        <v>1811.94</v>
      </c>
      <c r="O23" s="22">
        <v>1972.74</v>
      </c>
    </row>
    <row r="24" spans="1:15" s="21" customFormat="1" ht="15">
      <c r="A24" s="20" t="s">
        <v>73</v>
      </c>
      <c r="B24" s="20" t="s">
        <v>11</v>
      </c>
      <c r="C24" s="20" t="s">
        <v>144</v>
      </c>
      <c r="D24" s="22">
        <v>2181.92</v>
      </c>
      <c r="E24" s="22">
        <v>2459.68</v>
      </c>
      <c r="F24" s="22">
        <v>1990.32</v>
      </c>
      <c r="G24" s="22">
        <v>1850</v>
      </c>
      <c r="H24" s="22">
        <v>2624.19</v>
      </c>
      <c r="I24" s="22">
        <v>2303.23</v>
      </c>
      <c r="J24" s="22">
        <v>2504.84</v>
      </c>
      <c r="K24" s="22">
        <v>2450</v>
      </c>
      <c r="L24" s="22">
        <v>2446.35</v>
      </c>
      <c r="M24" s="22">
        <v>2303.65</v>
      </c>
      <c r="N24" s="22">
        <v>2006.6</v>
      </c>
      <c r="O24" s="22">
        <v>2455.02</v>
      </c>
    </row>
    <row r="25" spans="1:15" s="21" customFormat="1" ht="15">
      <c r="A25" s="20" t="s">
        <v>69</v>
      </c>
      <c r="B25" s="20" t="s">
        <v>7</v>
      </c>
      <c r="C25" s="20" t="s">
        <v>145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</row>
    <row r="26" spans="1:15" s="21" customFormat="1" ht="15">
      <c r="A26" s="20" t="s">
        <v>70</v>
      </c>
      <c r="B26" s="20" t="s">
        <v>8</v>
      </c>
      <c r="C26" s="20" t="s">
        <v>146</v>
      </c>
      <c r="D26" s="22">
        <v>28668.58</v>
      </c>
      <c r="E26" s="22">
        <v>23698.63</v>
      </c>
      <c r="F26" s="22">
        <v>30752.04</v>
      </c>
      <c r="G26" s="22">
        <v>23615.64</v>
      </c>
      <c r="H26" s="22">
        <v>29958.95</v>
      </c>
      <c r="I26" s="22">
        <v>24228.09</v>
      </c>
      <c r="J26" s="22">
        <v>28990.79</v>
      </c>
      <c r="K26" s="22">
        <v>31584.47</v>
      </c>
      <c r="L26" s="22">
        <v>26898.45</v>
      </c>
      <c r="M26" s="22">
        <v>25136.42</v>
      </c>
      <c r="N26" s="22">
        <v>30484.9</v>
      </c>
      <c r="O26" s="22">
        <v>24561.59</v>
      </c>
    </row>
    <row r="27" spans="1:15" s="21" customFormat="1" ht="15">
      <c r="A27" s="20" t="s">
        <v>71</v>
      </c>
      <c r="B27" s="20" t="s">
        <v>9</v>
      </c>
      <c r="C27" s="20" t="s">
        <v>147</v>
      </c>
      <c r="D27" s="22">
        <v>5531.92</v>
      </c>
      <c r="E27" s="22">
        <v>5725.36</v>
      </c>
      <c r="F27" s="22">
        <v>5357.28</v>
      </c>
      <c r="G27" s="22">
        <v>5377.29</v>
      </c>
      <c r="H27" s="22">
        <v>1814.39</v>
      </c>
      <c r="I27" s="22">
        <v>-39.81</v>
      </c>
      <c r="J27" s="22">
        <v>1280.51</v>
      </c>
      <c r="K27" s="22">
        <v>-1088.87</v>
      </c>
      <c r="L27" s="22">
        <v>11.51</v>
      </c>
      <c r="M27" s="22">
        <v>21.77</v>
      </c>
      <c r="N27" s="22">
        <v>13.92</v>
      </c>
      <c r="O27" s="22">
        <v>14.5</v>
      </c>
    </row>
    <row r="28" spans="1:15" s="21" customFormat="1" ht="15">
      <c r="A28" s="20" t="s">
        <v>75</v>
      </c>
      <c r="B28" s="20" t="s">
        <v>13</v>
      </c>
      <c r="C28" s="20" t="s">
        <v>148</v>
      </c>
      <c r="D28" s="22">
        <v>24665.99</v>
      </c>
      <c r="E28" s="22">
        <v>25023</v>
      </c>
      <c r="F28" s="22">
        <v>24269.32</v>
      </c>
      <c r="G28" s="22">
        <v>24133.01</v>
      </c>
      <c r="H28" s="22">
        <v>24592.96</v>
      </c>
      <c r="I28" s="22">
        <v>24575.98</v>
      </c>
      <c r="J28" s="22">
        <v>24587.54</v>
      </c>
      <c r="K28" s="22">
        <v>25052.2</v>
      </c>
      <c r="L28" s="22">
        <v>24135.64</v>
      </c>
      <c r="M28" s="22">
        <v>23610.71</v>
      </c>
      <c r="N28" s="22">
        <v>22425.93</v>
      </c>
      <c r="O28" s="22">
        <v>23355.31</v>
      </c>
    </row>
    <row r="29" spans="1:15" s="21" customFormat="1" ht="15">
      <c r="A29" s="20" t="s">
        <v>69</v>
      </c>
      <c r="B29" s="20" t="s">
        <v>7</v>
      </c>
      <c r="C29" s="20" t="s">
        <v>149</v>
      </c>
      <c r="D29" s="22">
        <v>2107.61</v>
      </c>
      <c r="E29" s="22">
        <v>2011.69</v>
      </c>
      <c r="F29" s="22">
        <v>1920</v>
      </c>
      <c r="G29" s="22">
        <v>1886.67</v>
      </c>
      <c r="H29" s="22">
        <v>1716.13</v>
      </c>
      <c r="I29" s="22">
        <v>1830.97</v>
      </c>
      <c r="J29" s="22">
        <v>1760</v>
      </c>
      <c r="K29" s="22">
        <v>1864.52</v>
      </c>
      <c r="L29" s="22">
        <v>1668.58</v>
      </c>
      <c r="M29" s="22">
        <v>1664.51</v>
      </c>
      <c r="N29" s="22">
        <v>1405.34</v>
      </c>
      <c r="O29" s="22">
        <v>1452.89</v>
      </c>
    </row>
    <row r="30" spans="1:15" s="21" customFormat="1" ht="15">
      <c r="A30" s="20" t="s">
        <v>69</v>
      </c>
      <c r="B30" s="20" t="s">
        <v>7</v>
      </c>
      <c r="C30" s="20" t="s">
        <v>150</v>
      </c>
      <c r="D30" s="22">
        <v>0</v>
      </c>
      <c r="E30" s="22">
        <v>120</v>
      </c>
      <c r="F30" s="22">
        <v>120</v>
      </c>
      <c r="G30" s="22">
        <v>0</v>
      </c>
      <c r="H30" s="22">
        <v>195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</row>
    <row r="31" spans="1:15" s="21" customFormat="1" ht="15">
      <c r="A31" s="20" t="s">
        <v>69</v>
      </c>
      <c r="B31" s="20" t="s">
        <v>7</v>
      </c>
      <c r="C31" s="20" t="s">
        <v>151</v>
      </c>
      <c r="D31" s="22">
        <v>1151</v>
      </c>
      <c r="E31" s="22">
        <v>699</v>
      </c>
      <c r="F31" s="22">
        <v>800</v>
      </c>
      <c r="G31" s="22">
        <v>950</v>
      </c>
      <c r="H31" s="22">
        <v>751</v>
      </c>
      <c r="I31" s="22">
        <v>350</v>
      </c>
      <c r="J31" s="22">
        <v>350</v>
      </c>
      <c r="K31" s="22">
        <v>107.25</v>
      </c>
      <c r="L31" s="22">
        <v>691.75</v>
      </c>
      <c r="M31" s="22">
        <v>499</v>
      </c>
      <c r="N31" s="22">
        <v>1350</v>
      </c>
      <c r="O31" s="22">
        <v>648</v>
      </c>
    </row>
    <row r="32" spans="1:15" s="21" customFormat="1" ht="15">
      <c r="A32" s="20" t="s">
        <v>69</v>
      </c>
      <c r="B32" s="20" t="s">
        <v>7</v>
      </c>
      <c r="C32" s="20" t="s">
        <v>152</v>
      </c>
      <c r="D32" s="22">
        <v>4105.17</v>
      </c>
      <c r="E32" s="22">
        <v>2137.62</v>
      </c>
      <c r="F32" s="22">
        <v>2936</v>
      </c>
      <c r="G32" s="22">
        <v>2814.7</v>
      </c>
      <c r="H32" s="22">
        <v>1993.71</v>
      </c>
      <c r="I32" s="22">
        <v>1650.2</v>
      </c>
      <c r="J32" s="22">
        <v>2107.4</v>
      </c>
      <c r="K32" s="22">
        <v>2029</v>
      </c>
      <c r="L32" s="22">
        <v>2091.86</v>
      </c>
      <c r="M32" s="22">
        <v>1911</v>
      </c>
      <c r="N32" s="22">
        <v>1280.02</v>
      </c>
      <c r="O32" s="22">
        <v>2676.38</v>
      </c>
    </row>
    <row r="33" spans="1:15" s="21" customFormat="1" ht="15">
      <c r="A33" s="20" t="s">
        <v>69</v>
      </c>
      <c r="B33" s="20" t="s">
        <v>7</v>
      </c>
      <c r="C33" s="20" t="s">
        <v>153</v>
      </c>
      <c r="D33" s="22">
        <v>100</v>
      </c>
      <c r="E33" s="22">
        <v>40</v>
      </c>
      <c r="F33" s="22">
        <v>40</v>
      </c>
      <c r="G33" s="22">
        <v>100</v>
      </c>
      <c r="H33" s="22">
        <v>80</v>
      </c>
      <c r="I33" s="22">
        <v>229</v>
      </c>
      <c r="J33" s="22">
        <v>54</v>
      </c>
      <c r="K33" s="22">
        <v>20</v>
      </c>
      <c r="L33" s="22">
        <v>40</v>
      </c>
      <c r="M33" s="22">
        <v>20</v>
      </c>
      <c r="N33" s="22">
        <v>60</v>
      </c>
      <c r="O33" s="22">
        <v>40</v>
      </c>
    </row>
    <row r="34" spans="1:15" s="21" customFormat="1" ht="15">
      <c r="A34" s="20" t="s">
        <v>69</v>
      </c>
      <c r="B34" s="20" t="s">
        <v>7</v>
      </c>
      <c r="C34" s="20" t="s">
        <v>154</v>
      </c>
      <c r="D34" s="22">
        <v>594.74</v>
      </c>
      <c r="E34" s="22">
        <v>608.05</v>
      </c>
      <c r="F34" s="22">
        <v>612.27</v>
      </c>
      <c r="G34" s="22">
        <v>633.65</v>
      </c>
      <c r="H34" s="22">
        <v>652.91</v>
      </c>
      <c r="I34" s="22">
        <v>679.06</v>
      </c>
      <c r="J34" s="22">
        <v>668.74</v>
      </c>
      <c r="K34" s="22">
        <v>761.18</v>
      </c>
      <c r="L34" s="22">
        <v>700.58</v>
      </c>
      <c r="M34" s="22">
        <v>676.87</v>
      </c>
      <c r="N34" s="22">
        <v>664.89</v>
      </c>
      <c r="O34" s="22">
        <v>712.81</v>
      </c>
    </row>
    <row r="35" spans="1:15" s="21" customFormat="1" ht="15">
      <c r="A35" s="20" t="s">
        <v>69</v>
      </c>
      <c r="B35" s="20" t="s">
        <v>7</v>
      </c>
      <c r="C35" s="20" t="s">
        <v>155</v>
      </c>
      <c r="D35" s="22">
        <v>4218.15</v>
      </c>
      <c r="E35" s="22">
        <v>2464.55</v>
      </c>
      <c r="F35" s="22">
        <v>2209.25</v>
      </c>
      <c r="G35" s="22">
        <v>1250</v>
      </c>
      <c r="H35" s="22">
        <v>1308.01</v>
      </c>
      <c r="I35" s="22">
        <v>1045</v>
      </c>
      <c r="J35" s="22">
        <v>335</v>
      </c>
      <c r="K35" s="22">
        <v>240</v>
      </c>
      <c r="L35" s="22">
        <v>680.54</v>
      </c>
      <c r="M35" s="22">
        <v>1313.06</v>
      </c>
      <c r="N35" s="22">
        <v>665</v>
      </c>
      <c r="O35" s="22">
        <v>860.03</v>
      </c>
    </row>
    <row r="36" spans="1:15" s="21" customFormat="1" ht="15">
      <c r="A36" s="20" t="s">
        <v>69</v>
      </c>
      <c r="B36" s="20" t="s">
        <v>7</v>
      </c>
      <c r="C36" s="20" t="s">
        <v>156</v>
      </c>
      <c r="D36" s="22">
        <v>1547.09</v>
      </c>
      <c r="E36" s="22">
        <v>1366.61</v>
      </c>
      <c r="F36" s="22">
        <v>1925.04</v>
      </c>
      <c r="G36" s="22">
        <v>769.4</v>
      </c>
      <c r="H36" s="22">
        <v>675</v>
      </c>
      <c r="I36" s="22">
        <v>750</v>
      </c>
      <c r="J36" s="22">
        <v>296.84</v>
      </c>
      <c r="K36" s="22">
        <v>225</v>
      </c>
      <c r="L36" s="22">
        <v>300</v>
      </c>
      <c r="M36" s="22">
        <v>527.59</v>
      </c>
      <c r="N36" s="22">
        <v>447.41</v>
      </c>
      <c r="O36" s="22">
        <v>367.57</v>
      </c>
    </row>
    <row r="37" spans="1:15" s="21" customFormat="1" ht="15">
      <c r="A37" s="20" t="s">
        <v>69</v>
      </c>
      <c r="B37" s="20" t="s">
        <v>7</v>
      </c>
      <c r="C37" s="20" t="s">
        <v>157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</row>
    <row r="38" spans="1:15" s="21" customFormat="1" ht="15">
      <c r="A38" s="20" t="s">
        <v>78</v>
      </c>
      <c r="B38" s="20" t="s">
        <v>16</v>
      </c>
      <c r="C38" s="20" t="s">
        <v>158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-23.73</v>
      </c>
      <c r="M38" s="22">
        <v>30.15</v>
      </c>
      <c r="N38" s="22">
        <v>30.15</v>
      </c>
      <c r="O38" s="22">
        <v>30</v>
      </c>
    </row>
    <row r="39" spans="1:15" s="21" customFormat="1" ht="15">
      <c r="A39" s="20" t="s">
        <v>69</v>
      </c>
      <c r="B39" s="20" t="s">
        <v>7</v>
      </c>
      <c r="C39" s="20" t="s">
        <v>159</v>
      </c>
      <c r="D39" s="22">
        <v>27.06</v>
      </c>
      <c r="E39" s="22">
        <v>13.59</v>
      </c>
      <c r="F39" s="22">
        <v>0</v>
      </c>
      <c r="G39" s="22">
        <v>2700</v>
      </c>
      <c r="H39" s="22">
        <v>3000</v>
      </c>
      <c r="I39" s="22">
        <v>0</v>
      </c>
      <c r="J39" s="22">
        <v>0</v>
      </c>
      <c r="K39" s="22">
        <v>0</v>
      </c>
      <c r="L39" s="22">
        <v>0</v>
      </c>
      <c r="M39" s="22">
        <v>4517.75</v>
      </c>
      <c r="N39" s="22">
        <v>5519.93</v>
      </c>
      <c r="O39" s="22">
        <v>0</v>
      </c>
    </row>
    <row r="40" spans="1:15" s="21" customFormat="1" ht="15">
      <c r="A40" s="20" t="s">
        <v>69</v>
      </c>
      <c r="B40" s="20" t="s">
        <v>7</v>
      </c>
      <c r="C40" s="20" t="s">
        <v>160</v>
      </c>
      <c r="D40" s="22">
        <v>250</v>
      </c>
      <c r="E40" s="22">
        <v>50</v>
      </c>
      <c r="F40" s="22">
        <v>0</v>
      </c>
      <c r="G40" s="22">
        <v>0</v>
      </c>
      <c r="H40" s="22">
        <v>0</v>
      </c>
      <c r="I40" s="22">
        <v>0</v>
      </c>
      <c r="J40" s="22">
        <v>60</v>
      </c>
      <c r="K40" s="22">
        <v>165</v>
      </c>
      <c r="L40" s="22">
        <v>210</v>
      </c>
      <c r="M40" s="22">
        <v>0</v>
      </c>
      <c r="N40" s="22">
        <v>0</v>
      </c>
      <c r="O40" s="22">
        <v>75</v>
      </c>
    </row>
    <row r="41" spans="1:15" s="21" customFormat="1" ht="15">
      <c r="A41" s="20" t="s">
        <v>69</v>
      </c>
      <c r="B41" s="20" t="s">
        <v>7</v>
      </c>
      <c r="C41" s="20" t="s">
        <v>161</v>
      </c>
      <c r="D41" s="22">
        <v>2889</v>
      </c>
      <c r="E41" s="22">
        <v>2142</v>
      </c>
      <c r="F41" s="22">
        <v>1992</v>
      </c>
      <c r="G41" s="22">
        <v>2494</v>
      </c>
      <c r="H41" s="22">
        <v>1789</v>
      </c>
      <c r="I41" s="22">
        <v>1743</v>
      </c>
      <c r="J41" s="22">
        <v>498</v>
      </c>
      <c r="K41" s="22">
        <v>249</v>
      </c>
      <c r="L41" s="22">
        <v>1494</v>
      </c>
      <c r="M41" s="22">
        <v>1992</v>
      </c>
      <c r="N41" s="22">
        <v>2886</v>
      </c>
      <c r="O41" s="22">
        <v>1644</v>
      </c>
    </row>
    <row r="42" spans="1:15" s="21" customFormat="1" ht="15">
      <c r="A42" s="20" t="s">
        <v>69</v>
      </c>
      <c r="B42" s="20" t="s">
        <v>7</v>
      </c>
      <c r="C42" s="20" t="s">
        <v>162</v>
      </c>
      <c r="D42" s="22">
        <v>649</v>
      </c>
      <c r="E42" s="22">
        <v>-492.71</v>
      </c>
      <c r="F42" s="22">
        <v>-99</v>
      </c>
      <c r="G42" s="22">
        <v>250</v>
      </c>
      <c r="H42" s="22">
        <v>450</v>
      </c>
      <c r="I42" s="22">
        <v>0</v>
      </c>
      <c r="J42" s="22">
        <v>0</v>
      </c>
      <c r="K42" s="22">
        <v>250</v>
      </c>
      <c r="L42" s="22">
        <v>250</v>
      </c>
      <c r="M42" s="22">
        <v>250</v>
      </c>
      <c r="N42" s="22">
        <v>1250</v>
      </c>
      <c r="O42" s="22">
        <v>500</v>
      </c>
    </row>
    <row r="43" spans="1:15" s="21" customFormat="1" ht="15">
      <c r="A43" s="20" t="s">
        <v>69</v>
      </c>
      <c r="B43" s="20" t="s">
        <v>7</v>
      </c>
      <c r="C43" s="20" t="s">
        <v>163</v>
      </c>
      <c r="D43" s="22">
        <v>2644.21</v>
      </c>
      <c r="E43" s="22">
        <v>475.46</v>
      </c>
      <c r="F43" s="22">
        <v>807.27</v>
      </c>
      <c r="G43" s="22">
        <v>591.18</v>
      </c>
      <c r="H43" s="22">
        <v>988.57</v>
      </c>
      <c r="I43" s="22">
        <v>444.33</v>
      </c>
      <c r="J43" s="22">
        <v>419.44</v>
      </c>
      <c r="K43" s="22">
        <v>6300.75</v>
      </c>
      <c r="L43" s="22">
        <v>539.51</v>
      </c>
      <c r="M43" s="22">
        <v>582.72</v>
      </c>
      <c r="N43" s="22">
        <v>3125.65</v>
      </c>
      <c r="O43" s="22">
        <v>864.5</v>
      </c>
    </row>
    <row r="44" spans="1:15" s="21" customFormat="1" ht="15">
      <c r="A44" s="20"/>
      <c r="B44" s="20"/>
      <c r="C44" s="20" t="s">
        <v>164</v>
      </c>
      <c r="D44" s="22">
        <v>87420.09</v>
      </c>
      <c r="E44" s="22">
        <v>74462.47</v>
      </c>
      <c r="F44" s="22">
        <v>81687.76</v>
      </c>
      <c r="G44" s="22">
        <v>75847.38</v>
      </c>
      <c r="H44" s="22">
        <v>79201.93</v>
      </c>
      <c r="I44" s="22">
        <v>66446.99</v>
      </c>
      <c r="J44" s="22">
        <v>70684.83</v>
      </c>
      <c r="K44" s="22">
        <v>76946.27</v>
      </c>
      <c r="L44" s="22">
        <v>68710.65</v>
      </c>
      <c r="M44" s="22">
        <v>71358.59</v>
      </c>
      <c r="N44" s="22">
        <v>79992.91</v>
      </c>
      <c r="O44" s="22">
        <v>67061.05</v>
      </c>
    </row>
    <row r="45" spans="1:15" s="21" customFormat="1" ht="15">
      <c r="A45" s="20"/>
      <c r="B45" s="20"/>
      <c r="C45" s="20" t="s">
        <v>165</v>
      </c>
      <c r="D45" s="22">
        <v>429763.96</v>
      </c>
      <c r="E45" s="22">
        <v>406520.05</v>
      </c>
      <c r="F45" s="22">
        <v>410352.15</v>
      </c>
      <c r="G45" s="22">
        <v>402660.32</v>
      </c>
      <c r="H45" s="22">
        <v>412965.8</v>
      </c>
      <c r="I45" s="22">
        <v>401174.21</v>
      </c>
      <c r="J45" s="22">
        <v>405571.63</v>
      </c>
      <c r="K45" s="22">
        <v>410815.47</v>
      </c>
      <c r="L45" s="22">
        <v>399783.25</v>
      </c>
      <c r="M45" s="22">
        <v>396060.83</v>
      </c>
      <c r="N45" s="22">
        <v>391330.13</v>
      </c>
      <c r="O45" s="22">
        <v>383396.12</v>
      </c>
    </row>
    <row r="46" spans="1:15" s="19" customFormat="1" ht="15">
      <c r="A46" s="18"/>
      <c r="B46" s="18"/>
      <c r="C46" s="18" t="s">
        <v>166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</row>
    <row r="47" spans="1:15" s="19" customFormat="1" ht="15">
      <c r="A47" s="18"/>
      <c r="B47" s="18"/>
      <c r="C47" s="18" t="s">
        <v>167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</row>
    <row r="48" spans="1:15" s="24" customFormat="1" ht="15">
      <c r="A48" s="23" t="s">
        <v>85</v>
      </c>
      <c r="B48" s="23" t="s">
        <v>24</v>
      </c>
      <c r="C48" s="23" t="s">
        <v>168</v>
      </c>
      <c r="D48" s="25">
        <v>417.19</v>
      </c>
      <c r="E48" s="25">
        <v>389.1</v>
      </c>
      <c r="F48" s="25">
        <v>372.52</v>
      </c>
      <c r="G48" s="25">
        <v>356.97</v>
      </c>
      <c r="H48" s="25">
        <v>460.94</v>
      </c>
      <c r="I48" s="25">
        <v>379.18</v>
      </c>
      <c r="J48" s="25">
        <v>351.53</v>
      </c>
      <c r="K48" s="25">
        <v>369.92</v>
      </c>
      <c r="L48" s="25">
        <v>324.15</v>
      </c>
      <c r="M48" s="25">
        <v>315.6</v>
      </c>
      <c r="N48" s="25">
        <v>360.94</v>
      </c>
      <c r="O48" s="25">
        <v>414.8</v>
      </c>
    </row>
    <row r="49" spans="1:15" s="24" customFormat="1" ht="15">
      <c r="A49" s="23" t="s">
        <v>85</v>
      </c>
      <c r="B49" s="23" t="s">
        <v>24</v>
      </c>
      <c r="C49" s="23" t="s">
        <v>169</v>
      </c>
      <c r="D49" s="25">
        <v>178</v>
      </c>
      <c r="E49" s="25">
        <v>178</v>
      </c>
      <c r="F49" s="25">
        <v>178</v>
      </c>
      <c r="G49" s="25">
        <v>181.62</v>
      </c>
      <c r="H49" s="25">
        <v>363.24</v>
      </c>
      <c r="I49" s="25">
        <v>185.68</v>
      </c>
      <c r="J49" s="25">
        <v>159.62</v>
      </c>
      <c r="K49" s="25">
        <v>159.62</v>
      </c>
      <c r="L49" s="25">
        <v>159.62</v>
      </c>
      <c r="M49" s="25">
        <v>159.62</v>
      </c>
      <c r="N49" s="25">
        <v>159.62</v>
      </c>
      <c r="O49" s="25">
        <v>159.62</v>
      </c>
    </row>
    <row r="50" spans="1:15" s="24" customFormat="1" ht="15">
      <c r="A50" s="23" t="s">
        <v>85</v>
      </c>
      <c r="B50" s="23" t="s">
        <v>24</v>
      </c>
      <c r="C50" s="23" t="s">
        <v>170</v>
      </c>
      <c r="D50" s="25">
        <v>5757.23</v>
      </c>
      <c r="E50" s="25">
        <v>18004.05</v>
      </c>
      <c r="F50" s="25">
        <v>7781.01</v>
      </c>
      <c r="G50" s="25">
        <v>8005.17</v>
      </c>
      <c r="H50" s="25">
        <v>8075.69</v>
      </c>
      <c r="I50" s="25">
        <v>7994.2</v>
      </c>
      <c r="J50" s="25">
        <v>7833.4</v>
      </c>
      <c r="K50" s="25">
        <v>10147.24</v>
      </c>
      <c r="L50" s="25">
        <v>11771.63</v>
      </c>
      <c r="M50" s="25">
        <v>7756.98</v>
      </c>
      <c r="N50" s="25">
        <v>10006.18</v>
      </c>
      <c r="O50" s="25">
        <v>8372.72</v>
      </c>
    </row>
    <row r="51" spans="1:15" s="24" customFormat="1" ht="15">
      <c r="A51" s="23" t="s">
        <v>85</v>
      </c>
      <c r="B51" s="23" t="s">
        <v>24</v>
      </c>
      <c r="C51" s="23" t="s">
        <v>171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</row>
    <row r="52" spans="1:15" s="24" customFormat="1" ht="15">
      <c r="A52" s="23" t="s">
        <v>85</v>
      </c>
      <c r="B52" s="23" t="s">
        <v>24</v>
      </c>
      <c r="C52" s="23" t="s">
        <v>172</v>
      </c>
      <c r="D52" s="25">
        <v>0</v>
      </c>
      <c r="E52" s="25">
        <v>0</v>
      </c>
      <c r="F52" s="25">
        <v>72.8</v>
      </c>
      <c r="G52" s="25">
        <v>0</v>
      </c>
      <c r="H52" s="25">
        <v>15.4</v>
      </c>
      <c r="I52" s="25">
        <v>83.3</v>
      </c>
      <c r="J52" s="25">
        <v>126.09</v>
      </c>
      <c r="K52" s="25">
        <v>0</v>
      </c>
      <c r="L52" s="25">
        <v>0</v>
      </c>
      <c r="M52" s="25">
        <v>56.7</v>
      </c>
      <c r="N52" s="25">
        <v>103.6</v>
      </c>
      <c r="O52" s="25">
        <v>127.68</v>
      </c>
    </row>
    <row r="53" spans="1:15" s="24" customFormat="1" ht="15">
      <c r="A53" s="23" t="s">
        <v>85</v>
      </c>
      <c r="B53" s="23" t="s">
        <v>24</v>
      </c>
      <c r="C53" s="23" t="s">
        <v>173</v>
      </c>
      <c r="D53" s="25">
        <v>187.44</v>
      </c>
      <c r="E53" s="25">
        <v>121.29</v>
      </c>
      <c r="F53" s="25">
        <v>51.46</v>
      </c>
      <c r="G53" s="25">
        <v>278.72</v>
      </c>
      <c r="H53" s="25">
        <v>156.19</v>
      </c>
      <c r="I53" s="25">
        <v>109.76</v>
      </c>
      <c r="J53" s="25">
        <v>202.48</v>
      </c>
      <c r="K53" s="25">
        <v>199.11</v>
      </c>
      <c r="L53" s="25">
        <v>80.43</v>
      </c>
      <c r="M53" s="25">
        <v>134.63</v>
      </c>
      <c r="N53" s="25">
        <v>69.94</v>
      </c>
      <c r="O53" s="25">
        <v>96.95</v>
      </c>
    </row>
    <row r="54" spans="1:15" s="24" customFormat="1" ht="15">
      <c r="A54" s="23" t="s">
        <v>85</v>
      </c>
      <c r="B54" s="23" t="s">
        <v>24</v>
      </c>
      <c r="C54" s="23" t="s">
        <v>174</v>
      </c>
      <c r="D54" s="25">
        <v>0</v>
      </c>
      <c r="E54" s="25">
        <v>1100</v>
      </c>
      <c r="F54" s="25">
        <v>0</v>
      </c>
      <c r="G54" s="25">
        <v>0</v>
      </c>
      <c r="H54" s="25">
        <v>8700</v>
      </c>
      <c r="I54" s="25">
        <v>4940</v>
      </c>
      <c r="J54" s="25">
        <v>-6524</v>
      </c>
      <c r="K54" s="25">
        <v>0</v>
      </c>
      <c r="L54" s="25">
        <v>0</v>
      </c>
      <c r="M54" s="25">
        <v>67.83</v>
      </c>
      <c r="N54" s="25">
        <v>0</v>
      </c>
      <c r="O54" s="25">
        <v>0</v>
      </c>
    </row>
    <row r="55" spans="1:15" s="24" customFormat="1" ht="15">
      <c r="A55" s="23" t="s">
        <v>85</v>
      </c>
      <c r="B55" s="23" t="s">
        <v>24</v>
      </c>
      <c r="C55" s="23" t="s">
        <v>175</v>
      </c>
      <c r="D55" s="25">
        <v>0</v>
      </c>
      <c r="E55" s="25">
        <v>672.36</v>
      </c>
      <c r="F55" s="25">
        <v>0</v>
      </c>
      <c r="G55" s="25">
        <v>0</v>
      </c>
      <c r="H55" s="25">
        <v>0</v>
      </c>
      <c r="I55" s="25">
        <v>0</v>
      </c>
      <c r="J55" s="25">
        <v>1105</v>
      </c>
      <c r="K55" s="25">
        <v>0</v>
      </c>
      <c r="L55" s="25">
        <v>0</v>
      </c>
      <c r="M55" s="25">
        <v>0</v>
      </c>
      <c r="N55" s="25">
        <v>2037</v>
      </c>
      <c r="O55" s="25">
        <v>229</v>
      </c>
    </row>
    <row r="56" spans="1:15" s="24" customFormat="1" ht="15">
      <c r="A56" s="23" t="s">
        <v>85</v>
      </c>
      <c r="B56" s="23" t="s">
        <v>24</v>
      </c>
      <c r="C56" s="23" t="s">
        <v>176</v>
      </c>
      <c r="D56" s="25">
        <v>0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>
        <v>178</v>
      </c>
    </row>
    <row r="57" spans="1:15" s="24" customFormat="1" ht="15">
      <c r="A57" s="23" t="s">
        <v>85</v>
      </c>
      <c r="B57" s="23" t="s">
        <v>24</v>
      </c>
      <c r="C57" s="23" t="s">
        <v>177</v>
      </c>
      <c r="D57" s="25">
        <v>0</v>
      </c>
      <c r="E57" s="25">
        <v>190.13</v>
      </c>
      <c r="F57" s="25">
        <v>273.06</v>
      </c>
      <c r="G57" s="25">
        <v>128.67</v>
      </c>
      <c r="H57" s="25">
        <v>14.35</v>
      </c>
      <c r="I57" s="25">
        <v>85.61</v>
      </c>
      <c r="J57" s="25">
        <v>523.28</v>
      </c>
      <c r="K57" s="25">
        <v>73.34</v>
      </c>
      <c r="L57" s="25">
        <v>0</v>
      </c>
      <c r="M57" s="25">
        <v>114.09</v>
      </c>
      <c r="N57" s="25">
        <v>56.14</v>
      </c>
      <c r="O57" s="25">
        <v>119.46</v>
      </c>
    </row>
    <row r="58" spans="1:15" s="24" customFormat="1" ht="15">
      <c r="A58" s="23" t="s">
        <v>85</v>
      </c>
      <c r="B58" s="23" t="s">
        <v>24</v>
      </c>
      <c r="C58" s="23" t="s">
        <v>178</v>
      </c>
      <c r="D58" s="25">
        <v>115.84</v>
      </c>
      <c r="E58" s="25">
        <v>115.84</v>
      </c>
      <c r="F58" s="25">
        <v>115.84</v>
      </c>
      <c r="G58" s="25">
        <v>115.84</v>
      </c>
      <c r="H58" s="25">
        <v>115.84</v>
      </c>
      <c r="I58" s="25">
        <v>119.38</v>
      </c>
      <c r="J58" s="25">
        <v>119.38</v>
      </c>
      <c r="K58" s="25">
        <v>0</v>
      </c>
      <c r="L58" s="25">
        <v>119.38</v>
      </c>
      <c r="M58" s="25">
        <v>238.76</v>
      </c>
      <c r="N58" s="25">
        <v>119.38</v>
      </c>
      <c r="O58" s="25">
        <v>119.38</v>
      </c>
    </row>
    <row r="59" spans="1:15" s="24" customFormat="1" ht="15">
      <c r="A59" s="23" t="s">
        <v>85</v>
      </c>
      <c r="B59" s="23" t="s">
        <v>24</v>
      </c>
      <c r="C59" s="23" t="s">
        <v>179</v>
      </c>
      <c r="D59" s="25">
        <v>0</v>
      </c>
      <c r="E59" s="25">
        <v>0</v>
      </c>
      <c r="F59" s="25">
        <v>0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</row>
    <row r="60" spans="1:15" s="24" customFormat="1" ht="15">
      <c r="A60" s="23" t="s">
        <v>85</v>
      </c>
      <c r="B60" s="23" t="s">
        <v>24</v>
      </c>
      <c r="C60" s="23" t="s">
        <v>180</v>
      </c>
      <c r="D60" s="25">
        <v>803</v>
      </c>
      <c r="E60" s="25">
        <v>803</v>
      </c>
      <c r="F60" s="25">
        <v>0</v>
      </c>
      <c r="G60" s="25">
        <v>0</v>
      </c>
      <c r="H60" s="25">
        <v>0</v>
      </c>
      <c r="I60" s="25">
        <v>0</v>
      </c>
      <c r="J60" s="25">
        <v>0</v>
      </c>
      <c r="K60" s="25">
        <v>138.85</v>
      </c>
      <c r="L60" s="25">
        <v>138.75</v>
      </c>
      <c r="M60" s="25">
        <v>125</v>
      </c>
      <c r="N60" s="25">
        <v>123.95</v>
      </c>
      <c r="O60" s="25">
        <v>123.8</v>
      </c>
    </row>
    <row r="61" spans="1:15" s="24" customFormat="1" ht="15">
      <c r="A61" s="23" t="s">
        <v>85</v>
      </c>
      <c r="B61" s="23" t="s">
        <v>24</v>
      </c>
      <c r="C61" s="23" t="s">
        <v>181</v>
      </c>
      <c r="D61" s="25">
        <v>0</v>
      </c>
      <c r="E61" s="25">
        <v>0</v>
      </c>
      <c r="F61" s="25">
        <v>0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5">
        <v>0</v>
      </c>
      <c r="M61" s="25">
        <v>7.45</v>
      </c>
      <c r="N61" s="25">
        <v>0</v>
      </c>
      <c r="O61" s="25">
        <v>0</v>
      </c>
    </row>
    <row r="62" spans="1:15" s="24" customFormat="1" ht="15">
      <c r="A62" s="23" t="s">
        <v>85</v>
      </c>
      <c r="B62" s="23" t="s">
        <v>24</v>
      </c>
      <c r="C62" s="23" t="s">
        <v>182</v>
      </c>
      <c r="D62" s="25">
        <v>0</v>
      </c>
      <c r="E62" s="25">
        <v>0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</row>
    <row r="63" spans="1:15" s="24" customFormat="1" ht="15">
      <c r="A63" s="23" t="s">
        <v>85</v>
      </c>
      <c r="B63" s="23" t="s">
        <v>24</v>
      </c>
      <c r="C63" s="23" t="s">
        <v>183</v>
      </c>
      <c r="D63" s="25">
        <v>150</v>
      </c>
      <c r="E63" s="25">
        <v>0</v>
      </c>
      <c r="F63" s="25">
        <v>150</v>
      </c>
      <c r="G63" s="25">
        <v>150</v>
      </c>
      <c r="H63" s="25">
        <v>0</v>
      </c>
      <c r="I63" s="25">
        <v>0</v>
      </c>
      <c r="J63" s="25">
        <v>0</v>
      </c>
      <c r="K63" s="25">
        <v>0</v>
      </c>
      <c r="L63" s="25">
        <v>0</v>
      </c>
      <c r="M63" s="25">
        <v>150</v>
      </c>
      <c r="N63" s="25">
        <v>0</v>
      </c>
      <c r="O63" s="25">
        <v>0</v>
      </c>
    </row>
    <row r="64" spans="1:15" s="24" customFormat="1" ht="15">
      <c r="A64" s="23" t="s">
        <v>85</v>
      </c>
      <c r="B64" s="23" t="s">
        <v>24</v>
      </c>
      <c r="C64" s="23" t="s">
        <v>184</v>
      </c>
      <c r="D64" s="25">
        <v>373.8</v>
      </c>
      <c r="E64" s="25">
        <v>0</v>
      </c>
      <c r="F64" s="25">
        <v>0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5">
        <v>0</v>
      </c>
      <c r="M64" s="25">
        <v>0</v>
      </c>
      <c r="N64" s="25">
        <v>0</v>
      </c>
      <c r="O64" s="25">
        <v>0</v>
      </c>
    </row>
    <row r="65" spans="1:15" s="24" customFormat="1" ht="15">
      <c r="A65" s="23" t="s">
        <v>85</v>
      </c>
      <c r="B65" s="23" t="s">
        <v>24</v>
      </c>
      <c r="C65" s="23" t="s">
        <v>185</v>
      </c>
      <c r="D65" s="25">
        <v>378.99</v>
      </c>
      <c r="E65" s="25">
        <v>266.44</v>
      </c>
      <c r="F65" s="25">
        <v>0</v>
      </c>
      <c r="G65" s="25">
        <v>0</v>
      </c>
      <c r="H65" s="25">
        <v>1108.83</v>
      </c>
      <c r="I65" s="25">
        <v>598.86</v>
      </c>
      <c r="J65" s="25">
        <v>502.12</v>
      </c>
      <c r="K65" s="25">
        <v>413.7</v>
      </c>
      <c r="L65" s="25">
        <v>403.35</v>
      </c>
      <c r="M65" s="25">
        <v>501.72</v>
      </c>
      <c r="N65" s="25">
        <v>552.47</v>
      </c>
      <c r="O65" s="25">
        <v>939.41</v>
      </c>
    </row>
    <row r="66" spans="1:15" s="24" customFormat="1" ht="15">
      <c r="A66" s="23"/>
      <c r="B66" s="23"/>
      <c r="C66" s="23" t="s">
        <v>186</v>
      </c>
      <c r="D66" s="25">
        <v>8361.49</v>
      </c>
      <c r="E66" s="25">
        <v>21840.21</v>
      </c>
      <c r="F66" s="25">
        <v>8994.69</v>
      </c>
      <c r="G66" s="25">
        <v>9216.99</v>
      </c>
      <c r="H66" s="25">
        <v>19010.48</v>
      </c>
      <c r="I66" s="25">
        <v>14495.97</v>
      </c>
      <c r="J66" s="25">
        <v>4398.9</v>
      </c>
      <c r="K66" s="25">
        <v>11501.78</v>
      </c>
      <c r="L66" s="25">
        <v>12997.31</v>
      </c>
      <c r="M66" s="25">
        <v>9628.38</v>
      </c>
      <c r="N66" s="25">
        <v>13589.22</v>
      </c>
      <c r="O66" s="25">
        <v>10880.82</v>
      </c>
    </row>
    <row r="67" spans="1:15" s="19" customFormat="1" ht="15">
      <c r="A67" s="18"/>
      <c r="B67" s="18"/>
      <c r="C67" s="18" t="s">
        <v>187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  <row r="68" spans="1:15" s="24" customFormat="1" ht="15">
      <c r="A68" s="23" t="s">
        <v>81</v>
      </c>
      <c r="B68" s="23" t="s">
        <v>20</v>
      </c>
      <c r="C68" s="23" t="s">
        <v>188</v>
      </c>
      <c r="D68" s="25">
        <v>23235.03</v>
      </c>
      <c r="E68" s="25">
        <v>20365.71</v>
      </c>
      <c r="F68" s="25">
        <v>23157.68</v>
      </c>
      <c r="G68" s="25">
        <v>23653.11</v>
      </c>
      <c r="H68" s="25">
        <v>23196.16</v>
      </c>
      <c r="I68" s="25">
        <v>23030.47</v>
      </c>
      <c r="J68" s="25">
        <v>23207.12</v>
      </c>
      <c r="K68" s="25">
        <v>23276.45</v>
      </c>
      <c r="L68" s="25">
        <v>21398.7</v>
      </c>
      <c r="M68" s="25">
        <v>21145.34</v>
      </c>
      <c r="N68" s="25">
        <v>23457.38</v>
      </c>
      <c r="O68" s="25">
        <v>22963.66</v>
      </c>
    </row>
    <row r="69" spans="1:15" s="24" customFormat="1" ht="15">
      <c r="A69" s="23" t="s">
        <v>83</v>
      </c>
      <c r="B69" s="23" t="s">
        <v>22</v>
      </c>
      <c r="C69" s="23" t="s">
        <v>189</v>
      </c>
      <c r="D69" s="25">
        <v>0</v>
      </c>
      <c r="E69" s="25">
        <v>0</v>
      </c>
      <c r="F69" s="25">
        <v>3200</v>
      </c>
      <c r="G69" s="25">
        <v>0</v>
      </c>
      <c r="H69" s="25">
        <v>0</v>
      </c>
      <c r="I69" s="25">
        <v>3200</v>
      </c>
      <c r="J69" s="25">
        <v>5000</v>
      </c>
      <c r="K69" s="25">
        <v>0</v>
      </c>
      <c r="L69" s="25">
        <v>3200</v>
      </c>
      <c r="M69" s="25">
        <v>0</v>
      </c>
      <c r="N69" s="25">
        <v>0</v>
      </c>
      <c r="O69" s="25">
        <v>0</v>
      </c>
    </row>
    <row r="70" spans="1:15" s="24" customFormat="1" ht="15">
      <c r="A70" s="23" t="s">
        <v>82</v>
      </c>
      <c r="B70" s="23" t="s">
        <v>21</v>
      </c>
      <c r="C70" s="23" t="s">
        <v>190</v>
      </c>
      <c r="D70" s="25">
        <v>0</v>
      </c>
      <c r="E70" s="25">
        <v>4912.34</v>
      </c>
      <c r="F70" s="25">
        <v>2456.17</v>
      </c>
      <c r="G70" s="25">
        <v>2456.17</v>
      </c>
      <c r="H70" s="25">
        <v>2456.17</v>
      </c>
      <c r="I70" s="25">
        <v>2456.17</v>
      </c>
      <c r="J70" s="25">
        <v>2456.17</v>
      </c>
      <c r="K70" s="25">
        <v>2416</v>
      </c>
      <c r="L70" s="25">
        <v>2416</v>
      </c>
      <c r="M70" s="25">
        <v>2416</v>
      </c>
      <c r="N70" s="25">
        <v>2416</v>
      </c>
      <c r="O70" s="25">
        <v>2416</v>
      </c>
    </row>
    <row r="71" spans="1:15" s="24" customFormat="1" ht="15">
      <c r="A71" s="23" t="s">
        <v>82</v>
      </c>
      <c r="B71" s="23" t="s">
        <v>21</v>
      </c>
      <c r="C71" s="23" t="s">
        <v>191</v>
      </c>
      <c r="D71" s="25">
        <v>1941.49</v>
      </c>
      <c r="E71" s="25">
        <v>4475.46</v>
      </c>
      <c r="F71" s="25">
        <v>2223.72</v>
      </c>
      <c r="G71" s="25">
        <v>1867.06</v>
      </c>
      <c r="H71" s="25">
        <v>1859.25</v>
      </c>
      <c r="I71" s="25">
        <v>2103.52</v>
      </c>
      <c r="J71" s="25">
        <v>2515.58</v>
      </c>
      <c r="K71" s="25">
        <v>2195.03</v>
      </c>
      <c r="L71" s="25">
        <v>2240.13</v>
      </c>
      <c r="M71" s="25">
        <v>1870.31</v>
      </c>
      <c r="N71" s="25">
        <v>2071.7</v>
      </c>
      <c r="O71" s="25">
        <v>2028.01</v>
      </c>
    </row>
    <row r="72" spans="1:15" s="24" customFormat="1" ht="15">
      <c r="A72" s="23" t="s">
        <v>82</v>
      </c>
      <c r="B72" s="23" t="s">
        <v>21</v>
      </c>
      <c r="C72" s="23" t="s">
        <v>192</v>
      </c>
      <c r="D72" s="25">
        <v>218.32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</row>
    <row r="73" spans="1:15" s="24" customFormat="1" ht="15">
      <c r="A73" s="23"/>
      <c r="B73" s="23"/>
      <c r="C73" s="23" t="s">
        <v>193</v>
      </c>
      <c r="D73" s="25">
        <v>25394.84</v>
      </c>
      <c r="E73" s="25">
        <v>29753.51</v>
      </c>
      <c r="F73" s="25">
        <v>31037.57</v>
      </c>
      <c r="G73" s="25">
        <v>27976.34</v>
      </c>
      <c r="H73" s="25">
        <v>27511.58</v>
      </c>
      <c r="I73" s="25">
        <v>30790.16</v>
      </c>
      <c r="J73" s="25">
        <v>33178.87</v>
      </c>
      <c r="K73" s="25">
        <v>27887.48</v>
      </c>
      <c r="L73" s="25">
        <v>29254.83</v>
      </c>
      <c r="M73" s="25">
        <v>25431.65</v>
      </c>
      <c r="N73" s="25">
        <v>27945.08</v>
      </c>
      <c r="O73" s="25">
        <v>27407.67</v>
      </c>
    </row>
    <row r="74" spans="1:15" s="19" customFormat="1" ht="15">
      <c r="A74" s="18"/>
      <c r="B74" s="18"/>
      <c r="C74" s="18" t="s">
        <v>194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</row>
    <row r="75" spans="1:15" s="24" customFormat="1" ht="15">
      <c r="A75" s="23" t="s">
        <v>84</v>
      </c>
      <c r="B75" s="23" t="s">
        <v>23</v>
      </c>
      <c r="C75" s="23" t="s">
        <v>195</v>
      </c>
      <c r="D75" s="25">
        <v>392.42</v>
      </c>
      <c r="E75" s="25">
        <v>154.73</v>
      </c>
      <c r="F75" s="25">
        <v>120.58</v>
      </c>
      <c r="G75" s="25">
        <v>0</v>
      </c>
      <c r="H75" s="25">
        <v>0</v>
      </c>
      <c r="I75" s="25">
        <v>277.22</v>
      </c>
      <c r="J75" s="25">
        <v>0</v>
      </c>
      <c r="K75" s="25">
        <v>0</v>
      </c>
      <c r="L75" s="25">
        <v>0</v>
      </c>
      <c r="M75" s="25">
        <v>34.51</v>
      </c>
      <c r="N75" s="25">
        <v>0</v>
      </c>
      <c r="O75" s="25">
        <v>85.12</v>
      </c>
    </row>
    <row r="76" spans="1:15" s="24" customFormat="1" ht="15">
      <c r="A76" s="23" t="s">
        <v>84</v>
      </c>
      <c r="B76" s="23" t="s">
        <v>23</v>
      </c>
      <c r="C76" s="23" t="s">
        <v>196</v>
      </c>
      <c r="D76" s="25">
        <v>7900.62</v>
      </c>
      <c r="E76" s="25">
        <v>7900.62</v>
      </c>
      <c r="F76" s="25">
        <v>7121.62</v>
      </c>
      <c r="G76" s="25">
        <v>7121.62</v>
      </c>
      <c r="H76" s="25">
        <v>7121.62</v>
      </c>
      <c r="I76" s="25">
        <v>6802.62</v>
      </c>
      <c r="J76" s="25">
        <v>6802.62</v>
      </c>
      <c r="K76" s="25">
        <v>6802.62</v>
      </c>
      <c r="L76" s="25">
        <v>6802.62</v>
      </c>
      <c r="M76" s="25">
        <v>6802.62</v>
      </c>
      <c r="N76" s="25">
        <v>6802.62</v>
      </c>
      <c r="O76" s="25">
        <v>6822.62</v>
      </c>
    </row>
    <row r="77" spans="1:15" s="24" customFormat="1" ht="15">
      <c r="A77" s="23" t="s">
        <v>84</v>
      </c>
      <c r="B77" s="23" t="s">
        <v>23</v>
      </c>
      <c r="C77" s="23" t="s">
        <v>197</v>
      </c>
      <c r="D77" s="25">
        <v>0</v>
      </c>
      <c r="E77" s="25">
        <v>0</v>
      </c>
      <c r="F77" s="25">
        <v>0</v>
      </c>
      <c r="G77" s="25">
        <v>0</v>
      </c>
      <c r="H77" s="25">
        <v>0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</row>
    <row r="78" spans="1:15" s="24" customFormat="1" ht="15">
      <c r="A78" s="23"/>
      <c r="B78" s="23"/>
      <c r="C78" s="23" t="s">
        <v>198</v>
      </c>
      <c r="D78" s="25">
        <v>8293.04</v>
      </c>
      <c r="E78" s="25">
        <v>8055.35</v>
      </c>
      <c r="F78" s="25">
        <v>7242.2</v>
      </c>
      <c r="G78" s="25">
        <v>7121.62</v>
      </c>
      <c r="H78" s="25">
        <v>7121.62</v>
      </c>
      <c r="I78" s="25">
        <v>7079.84</v>
      </c>
      <c r="J78" s="25">
        <v>6802.62</v>
      </c>
      <c r="K78" s="25">
        <v>6802.62</v>
      </c>
      <c r="L78" s="25">
        <v>6802.62</v>
      </c>
      <c r="M78" s="25">
        <v>6837.13</v>
      </c>
      <c r="N78" s="25">
        <v>6802.62</v>
      </c>
      <c r="O78" s="25">
        <v>6907.74</v>
      </c>
    </row>
    <row r="79" spans="1:15" s="19" customFormat="1" ht="15">
      <c r="A79" s="18"/>
      <c r="B79" s="18"/>
      <c r="C79" s="18" t="s">
        <v>199</v>
      </c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spans="1:15" s="24" customFormat="1" ht="15">
      <c r="A80" s="23" t="s">
        <v>87</v>
      </c>
      <c r="B80" s="23" t="s">
        <v>26</v>
      </c>
      <c r="C80" s="23" t="s">
        <v>200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5">
        <v>0</v>
      </c>
      <c r="M80" s="25">
        <v>587.72</v>
      </c>
      <c r="N80" s="25">
        <v>0</v>
      </c>
      <c r="O80" s="25">
        <v>0</v>
      </c>
    </row>
    <row r="81" spans="1:15" s="24" customFormat="1" ht="15">
      <c r="A81" s="23" t="s">
        <v>87</v>
      </c>
      <c r="B81" s="23" t="s">
        <v>26</v>
      </c>
      <c r="C81" s="23" t="s">
        <v>201</v>
      </c>
      <c r="D81" s="25">
        <v>292.8</v>
      </c>
      <c r="E81" s="25">
        <v>430.13</v>
      </c>
      <c r="F81" s="25">
        <v>75.62</v>
      </c>
      <c r="G81" s="25">
        <v>18.62</v>
      </c>
      <c r="H81" s="25">
        <v>342.85</v>
      </c>
      <c r="I81" s="25">
        <v>1063.06</v>
      </c>
      <c r="J81" s="25">
        <v>41.07</v>
      </c>
      <c r="K81" s="25">
        <v>542.21</v>
      </c>
      <c r="L81" s="25">
        <v>0</v>
      </c>
      <c r="M81" s="25">
        <v>0</v>
      </c>
      <c r="N81" s="25">
        <v>313.26</v>
      </c>
      <c r="O81" s="25">
        <v>276.75</v>
      </c>
    </row>
    <row r="82" spans="1:15" s="24" customFormat="1" ht="15">
      <c r="A82" s="23" t="s">
        <v>87</v>
      </c>
      <c r="B82" s="23" t="s">
        <v>26</v>
      </c>
      <c r="C82" s="23" t="s">
        <v>202</v>
      </c>
      <c r="D82" s="25">
        <v>242.84</v>
      </c>
      <c r="E82" s="25">
        <v>1120.63</v>
      </c>
      <c r="F82" s="25">
        <v>175.78</v>
      </c>
      <c r="G82" s="25">
        <v>215.84</v>
      </c>
      <c r="H82" s="25">
        <v>1113.27</v>
      </c>
      <c r="I82" s="25">
        <v>831.01</v>
      </c>
      <c r="J82" s="25">
        <v>676.93</v>
      </c>
      <c r="K82" s="25">
        <v>337.21</v>
      </c>
      <c r="L82" s="25">
        <v>715.19</v>
      </c>
      <c r="M82" s="25">
        <v>468.2</v>
      </c>
      <c r="N82" s="25">
        <v>229.84</v>
      </c>
      <c r="O82" s="25">
        <v>0</v>
      </c>
    </row>
    <row r="83" spans="1:15" s="24" customFormat="1" ht="15">
      <c r="A83" s="23" t="s">
        <v>87</v>
      </c>
      <c r="B83" s="23" t="s">
        <v>26</v>
      </c>
      <c r="C83" s="23" t="s">
        <v>203</v>
      </c>
      <c r="D83" s="25">
        <v>427.52</v>
      </c>
      <c r="E83" s="25">
        <v>417.82</v>
      </c>
      <c r="F83" s="25">
        <v>811.52</v>
      </c>
      <c r="G83" s="25">
        <v>591.72</v>
      </c>
      <c r="H83" s="25">
        <v>123.89</v>
      </c>
      <c r="I83" s="25">
        <v>843.81</v>
      </c>
      <c r="J83" s="25">
        <v>1073.53</v>
      </c>
      <c r="K83" s="25">
        <v>58.11</v>
      </c>
      <c r="L83" s="25">
        <v>1483.36</v>
      </c>
      <c r="M83" s="25">
        <v>452.83</v>
      </c>
      <c r="N83" s="25">
        <v>752.1</v>
      </c>
      <c r="O83" s="25">
        <v>1342.68</v>
      </c>
    </row>
    <row r="84" spans="1:15" s="24" customFormat="1" ht="15">
      <c r="A84" s="23" t="s">
        <v>88</v>
      </c>
      <c r="B84" s="23" t="s">
        <v>27</v>
      </c>
      <c r="C84" s="23" t="s">
        <v>204</v>
      </c>
      <c r="D84" s="25">
        <v>1257.44</v>
      </c>
      <c r="E84" s="25">
        <v>1584.57</v>
      </c>
      <c r="F84" s="25">
        <v>1936</v>
      </c>
      <c r="G84" s="25">
        <v>1395.81</v>
      </c>
      <c r="H84" s="25">
        <v>1351.67</v>
      </c>
      <c r="I84" s="25">
        <v>252.3</v>
      </c>
      <c r="J84" s="25">
        <v>974.29</v>
      </c>
      <c r="K84" s="25">
        <v>0</v>
      </c>
      <c r="L84" s="25">
        <v>497.44</v>
      </c>
      <c r="M84" s="25">
        <v>274.13</v>
      </c>
      <c r="N84" s="25">
        <v>3579.58</v>
      </c>
      <c r="O84" s="25">
        <v>844.03</v>
      </c>
    </row>
    <row r="85" spans="1:15" s="24" customFormat="1" ht="15">
      <c r="A85" s="23" t="s">
        <v>87</v>
      </c>
      <c r="B85" s="23" t="s">
        <v>26</v>
      </c>
      <c r="C85" s="23" t="s">
        <v>205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500</v>
      </c>
      <c r="J85" s="25">
        <v>0</v>
      </c>
      <c r="K85" s="25">
        <v>0</v>
      </c>
      <c r="L85" s="25">
        <v>0</v>
      </c>
      <c r="M85" s="25">
        <v>160</v>
      </c>
      <c r="N85" s="25">
        <v>0</v>
      </c>
      <c r="O85" s="25">
        <v>0</v>
      </c>
    </row>
    <row r="86" spans="1:15" s="24" customFormat="1" ht="15">
      <c r="A86" s="23" t="s">
        <v>87</v>
      </c>
      <c r="B86" s="23" t="s">
        <v>26</v>
      </c>
      <c r="C86" s="23" t="s">
        <v>206</v>
      </c>
      <c r="D86" s="25">
        <v>879.44</v>
      </c>
      <c r="E86" s="25">
        <v>219.86</v>
      </c>
      <c r="F86" s="25">
        <v>0</v>
      </c>
      <c r="G86" s="25">
        <v>0</v>
      </c>
      <c r="H86" s="25">
        <v>879.44</v>
      </c>
      <c r="I86" s="25">
        <v>0</v>
      </c>
      <c r="J86" s="25">
        <v>219.86</v>
      </c>
      <c r="K86" s="25">
        <v>0</v>
      </c>
      <c r="L86" s="25">
        <v>0</v>
      </c>
      <c r="M86" s="25">
        <v>219.86</v>
      </c>
      <c r="N86" s="25">
        <v>316.75</v>
      </c>
      <c r="O86" s="25">
        <v>458.08</v>
      </c>
    </row>
    <row r="87" spans="1:15" s="24" customFormat="1" ht="15">
      <c r="A87" s="23" t="s">
        <v>87</v>
      </c>
      <c r="B87" s="23" t="s">
        <v>26</v>
      </c>
      <c r="C87" s="23" t="s">
        <v>207</v>
      </c>
      <c r="D87" s="25">
        <v>1052</v>
      </c>
      <c r="E87" s="25">
        <v>800</v>
      </c>
      <c r="F87" s="25">
        <v>1000</v>
      </c>
      <c r="G87" s="25">
        <v>800</v>
      </c>
      <c r="H87" s="25">
        <v>800</v>
      </c>
      <c r="I87" s="25">
        <v>800</v>
      </c>
      <c r="J87" s="25">
        <v>800</v>
      </c>
      <c r="K87" s="25">
        <v>400</v>
      </c>
      <c r="L87" s="25">
        <v>1000</v>
      </c>
      <c r="M87" s="25">
        <v>1118.55</v>
      </c>
      <c r="N87" s="25">
        <v>870</v>
      </c>
      <c r="O87" s="25">
        <v>1200</v>
      </c>
    </row>
    <row r="88" spans="1:15" s="24" customFormat="1" ht="15">
      <c r="A88" s="23" t="s">
        <v>87</v>
      </c>
      <c r="B88" s="23" t="s">
        <v>26</v>
      </c>
      <c r="C88" s="23" t="s">
        <v>208</v>
      </c>
      <c r="D88" s="25">
        <v>192.02</v>
      </c>
      <c r="E88" s="25">
        <v>3229.27</v>
      </c>
      <c r="F88" s="25">
        <v>0</v>
      </c>
      <c r="G88" s="25">
        <v>318.75</v>
      </c>
      <c r="H88" s="25">
        <v>229</v>
      </c>
      <c r="I88" s="25">
        <v>0</v>
      </c>
      <c r="J88" s="25">
        <v>440</v>
      </c>
      <c r="K88" s="25">
        <v>0</v>
      </c>
      <c r="L88" s="25">
        <v>1663.99</v>
      </c>
      <c r="M88" s="25">
        <v>939</v>
      </c>
      <c r="N88" s="25">
        <v>89</v>
      </c>
      <c r="O88" s="25">
        <v>878.34</v>
      </c>
    </row>
    <row r="89" spans="1:15" s="24" customFormat="1" ht="15">
      <c r="A89" s="23" t="s">
        <v>87</v>
      </c>
      <c r="B89" s="23" t="s">
        <v>26</v>
      </c>
      <c r="C89" s="23" t="s">
        <v>209</v>
      </c>
      <c r="D89" s="25">
        <v>0</v>
      </c>
      <c r="E89" s="25">
        <v>0</v>
      </c>
      <c r="F89" s="25">
        <v>0</v>
      </c>
      <c r="G89" s="25">
        <v>0</v>
      </c>
      <c r="H89" s="25">
        <v>0</v>
      </c>
      <c r="I89" s="25">
        <v>0</v>
      </c>
      <c r="J89" s="25">
        <v>0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</row>
    <row r="90" spans="1:15" s="24" customFormat="1" ht="15">
      <c r="A90" s="23" t="s">
        <v>87</v>
      </c>
      <c r="B90" s="23" t="s">
        <v>26</v>
      </c>
      <c r="C90" s="23" t="s">
        <v>210</v>
      </c>
      <c r="D90" s="25">
        <v>0</v>
      </c>
      <c r="E90" s="25">
        <v>0</v>
      </c>
      <c r="F90" s="25">
        <v>0</v>
      </c>
      <c r="G90" s="25">
        <v>0</v>
      </c>
      <c r="H90" s="25">
        <v>94.7</v>
      </c>
      <c r="I90" s="25">
        <v>0</v>
      </c>
      <c r="J90" s="25">
        <v>0</v>
      </c>
      <c r="K90" s="25">
        <v>0</v>
      </c>
      <c r="L90" s="25">
        <v>0</v>
      </c>
      <c r="M90" s="25">
        <v>0</v>
      </c>
      <c r="N90" s="25">
        <v>47.35</v>
      </c>
      <c r="O90" s="25">
        <v>0</v>
      </c>
    </row>
    <row r="91" spans="1:15" s="24" customFormat="1" ht="15">
      <c r="A91" s="23"/>
      <c r="B91" s="23"/>
      <c r="C91" s="23" t="s">
        <v>211</v>
      </c>
      <c r="D91" s="25">
        <v>4344.06</v>
      </c>
      <c r="E91" s="25">
        <v>7802.28</v>
      </c>
      <c r="F91" s="25">
        <v>3998.92</v>
      </c>
      <c r="G91" s="25">
        <v>3340.74</v>
      </c>
      <c r="H91" s="25">
        <v>4934.82</v>
      </c>
      <c r="I91" s="25">
        <v>4290.18</v>
      </c>
      <c r="J91" s="25">
        <v>4225.68</v>
      </c>
      <c r="K91" s="25">
        <v>1337.53</v>
      </c>
      <c r="L91" s="25">
        <v>5359.98</v>
      </c>
      <c r="M91" s="25">
        <v>4220.29</v>
      </c>
      <c r="N91" s="25">
        <v>6197.88</v>
      </c>
      <c r="O91" s="25">
        <v>4999.88</v>
      </c>
    </row>
    <row r="92" spans="1:15" s="19" customFormat="1" ht="15">
      <c r="A92" s="18"/>
      <c r="B92" s="18"/>
      <c r="C92" s="18" t="s">
        <v>212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</row>
    <row r="93" spans="1:15" s="24" customFormat="1" ht="15">
      <c r="A93" s="23" t="s">
        <v>86</v>
      </c>
      <c r="B93" s="23" t="s">
        <v>25</v>
      </c>
      <c r="C93" s="23" t="s">
        <v>213</v>
      </c>
      <c r="D93" s="25">
        <v>0</v>
      </c>
      <c r="E93" s="25">
        <v>117.76</v>
      </c>
      <c r="F93" s="25">
        <v>841.2</v>
      </c>
      <c r="G93" s="25">
        <v>372.59</v>
      </c>
      <c r="H93" s="25">
        <v>407.66</v>
      </c>
      <c r="I93" s="25">
        <v>281.88</v>
      </c>
      <c r="J93" s="25">
        <v>184.26</v>
      </c>
      <c r="K93" s="25">
        <v>50.95</v>
      </c>
      <c r="L93" s="25">
        <v>186.99</v>
      </c>
      <c r="M93" s="25">
        <v>480.98</v>
      </c>
      <c r="N93" s="25">
        <v>142.5</v>
      </c>
      <c r="O93" s="25">
        <v>219.21</v>
      </c>
    </row>
    <row r="94" spans="1:15" s="24" customFormat="1" ht="15">
      <c r="A94" s="23" t="s">
        <v>86</v>
      </c>
      <c r="B94" s="23" t="s">
        <v>25</v>
      </c>
      <c r="C94" s="23" t="s">
        <v>214</v>
      </c>
      <c r="D94" s="25">
        <v>615</v>
      </c>
      <c r="E94" s="25">
        <v>725</v>
      </c>
      <c r="F94" s="25">
        <v>1627.5</v>
      </c>
      <c r="G94" s="25">
        <v>2072.5</v>
      </c>
      <c r="H94" s="25">
        <v>682.5</v>
      </c>
      <c r="I94" s="25">
        <v>1447.5</v>
      </c>
      <c r="J94" s="25">
        <v>147.5</v>
      </c>
      <c r="K94" s="25">
        <v>1223.75</v>
      </c>
      <c r="L94" s="25">
        <v>886.75</v>
      </c>
      <c r="M94" s="25">
        <v>843.75</v>
      </c>
      <c r="N94" s="25">
        <v>160</v>
      </c>
      <c r="O94" s="25">
        <v>125</v>
      </c>
    </row>
    <row r="95" spans="1:15" s="24" customFormat="1" ht="15">
      <c r="A95" s="23" t="s">
        <v>86</v>
      </c>
      <c r="B95" s="23" t="s">
        <v>25</v>
      </c>
      <c r="C95" s="23" t="s">
        <v>215</v>
      </c>
      <c r="D95" s="25">
        <v>2446.5</v>
      </c>
      <c r="E95" s="25">
        <v>3609.25</v>
      </c>
      <c r="F95" s="25">
        <v>4220</v>
      </c>
      <c r="G95" s="25">
        <v>5189.25</v>
      </c>
      <c r="H95" s="25">
        <v>1990</v>
      </c>
      <c r="I95" s="25">
        <v>3426.5</v>
      </c>
      <c r="J95" s="25">
        <v>1616.75</v>
      </c>
      <c r="K95" s="25">
        <v>885</v>
      </c>
      <c r="L95" s="25">
        <v>1495</v>
      </c>
      <c r="M95" s="25">
        <v>1472.5</v>
      </c>
      <c r="N95" s="25">
        <v>2550.5</v>
      </c>
      <c r="O95" s="25">
        <v>1163</v>
      </c>
    </row>
    <row r="96" spans="1:15" s="24" customFormat="1" ht="15">
      <c r="A96" s="23" t="s">
        <v>86</v>
      </c>
      <c r="B96" s="23" t="s">
        <v>25</v>
      </c>
      <c r="C96" s="23" t="s">
        <v>216</v>
      </c>
      <c r="D96" s="25">
        <v>3510.69</v>
      </c>
      <c r="E96" s="25">
        <v>3746.58</v>
      </c>
      <c r="F96" s="25">
        <v>3122.94</v>
      </c>
      <c r="G96" s="25">
        <v>4221.28</v>
      </c>
      <c r="H96" s="25">
        <v>2670.49</v>
      </c>
      <c r="I96" s="25">
        <v>2014.25</v>
      </c>
      <c r="J96" s="25">
        <v>1125</v>
      </c>
      <c r="K96" s="25">
        <v>575</v>
      </c>
      <c r="L96" s="25">
        <v>721.36</v>
      </c>
      <c r="M96" s="25">
        <v>1247.24</v>
      </c>
      <c r="N96" s="25">
        <v>575</v>
      </c>
      <c r="O96" s="25">
        <v>1848.67</v>
      </c>
    </row>
    <row r="97" spans="1:15" s="24" customFormat="1" ht="15">
      <c r="A97" s="23" t="s">
        <v>86</v>
      </c>
      <c r="B97" s="23" t="s">
        <v>25</v>
      </c>
      <c r="C97" s="23" t="s">
        <v>217</v>
      </c>
      <c r="D97" s="25">
        <v>6891.1</v>
      </c>
      <c r="E97" s="25">
        <v>5268.17</v>
      </c>
      <c r="F97" s="25">
        <v>3039.29</v>
      </c>
      <c r="G97" s="25">
        <v>4660.21</v>
      </c>
      <c r="H97" s="25">
        <v>3821.9</v>
      </c>
      <c r="I97" s="25">
        <v>1692.72</v>
      </c>
      <c r="J97" s="25">
        <v>2321.68</v>
      </c>
      <c r="K97" s="25">
        <v>808.36</v>
      </c>
      <c r="L97" s="25">
        <v>0</v>
      </c>
      <c r="M97" s="25">
        <v>2282.76</v>
      </c>
      <c r="N97" s="25">
        <v>1334.21</v>
      </c>
      <c r="O97" s="25">
        <v>2027.89</v>
      </c>
    </row>
    <row r="98" spans="1:15" s="24" customFormat="1" ht="15">
      <c r="A98" s="23" t="s">
        <v>86</v>
      </c>
      <c r="B98" s="23" t="s">
        <v>25</v>
      </c>
      <c r="C98" s="23" t="s">
        <v>218</v>
      </c>
      <c r="D98" s="25">
        <v>0</v>
      </c>
      <c r="E98" s="25">
        <v>0</v>
      </c>
      <c r="F98" s="25">
        <v>0</v>
      </c>
      <c r="G98" s="25">
        <v>0</v>
      </c>
      <c r="H98" s="25">
        <v>0</v>
      </c>
      <c r="I98" s="25">
        <v>0</v>
      </c>
      <c r="J98" s="25">
        <v>0</v>
      </c>
      <c r="K98" s="25">
        <v>0</v>
      </c>
      <c r="L98" s="25">
        <v>0</v>
      </c>
      <c r="M98" s="25">
        <v>0</v>
      </c>
      <c r="N98" s="25">
        <v>0</v>
      </c>
      <c r="O98" s="25">
        <v>0</v>
      </c>
    </row>
    <row r="99" spans="1:15" s="24" customFormat="1" ht="15">
      <c r="A99" s="23"/>
      <c r="B99" s="23"/>
      <c r="C99" s="23" t="s">
        <v>219</v>
      </c>
      <c r="D99" s="25">
        <v>13463.29</v>
      </c>
      <c r="E99" s="25">
        <v>13466.76</v>
      </c>
      <c r="F99" s="25">
        <v>12850.93</v>
      </c>
      <c r="G99" s="25">
        <v>16515.83</v>
      </c>
      <c r="H99" s="25">
        <v>9572.55</v>
      </c>
      <c r="I99" s="25">
        <v>8862.85</v>
      </c>
      <c r="J99" s="25">
        <v>5395.19</v>
      </c>
      <c r="K99" s="25">
        <v>3543.06</v>
      </c>
      <c r="L99" s="25">
        <v>3290.1</v>
      </c>
      <c r="M99" s="25">
        <v>6327.23</v>
      </c>
      <c r="N99" s="25">
        <v>4762.21</v>
      </c>
      <c r="O99" s="25">
        <v>5383.77</v>
      </c>
    </row>
    <row r="100" spans="1:15" s="19" customFormat="1" ht="15">
      <c r="A100" s="18"/>
      <c r="B100" s="18"/>
      <c r="C100" s="18" t="s">
        <v>220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</row>
    <row r="101" spans="1:15" s="24" customFormat="1" ht="15">
      <c r="A101" s="23" t="s">
        <v>88</v>
      </c>
      <c r="B101" s="23" t="s">
        <v>27</v>
      </c>
      <c r="C101" s="23" t="s">
        <v>221</v>
      </c>
      <c r="D101" s="25">
        <v>479.25</v>
      </c>
      <c r="E101" s="25">
        <v>906.58</v>
      </c>
      <c r="F101" s="25">
        <v>410.55</v>
      </c>
      <c r="G101" s="25">
        <v>586.01</v>
      </c>
      <c r="H101" s="25">
        <v>1933</v>
      </c>
      <c r="I101" s="25">
        <v>322.52</v>
      </c>
      <c r="J101" s="25">
        <v>844.14</v>
      </c>
      <c r="K101" s="25">
        <v>0</v>
      </c>
      <c r="L101" s="25">
        <v>304.63</v>
      </c>
      <c r="M101" s="25">
        <v>486.22</v>
      </c>
      <c r="N101" s="25">
        <v>135.19</v>
      </c>
      <c r="O101" s="25">
        <v>705.25</v>
      </c>
    </row>
    <row r="102" spans="1:15" s="24" customFormat="1" ht="15">
      <c r="A102" s="23" t="s">
        <v>88</v>
      </c>
      <c r="B102" s="23" t="s">
        <v>27</v>
      </c>
      <c r="C102" s="23" t="s">
        <v>222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0</v>
      </c>
      <c r="K102" s="25">
        <v>0</v>
      </c>
      <c r="L102" s="25">
        <v>240.64</v>
      </c>
      <c r="M102" s="25">
        <v>0</v>
      </c>
      <c r="N102" s="25">
        <v>0</v>
      </c>
      <c r="O102" s="25">
        <v>0</v>
      </c>
    </row>
    <row r="103" spans="1:15" s="24" customFormat="1" ht="15">
      <c r="A103" s="23" t="s">
        <v>88</v>
      </c>
      <c r="B103" s="23" t="s">
        <v>27</v>
      </c>
      <c r="C103" s="23" t="s">
        <v>223</v>
      </c>
      <c r="D103" s="25">
        <v>4509.67</v>
      </c>
      <c r="E103" s="25">
        <v>4428.67</v>
      </c>
      <c r="F103" s="25">
        <v>4586.17</v>
      </c>
      <c r="G103" s="25">
        <v>5593.81</v>
      </c>
      <c r="H103" s="25">
        <v>5185.54</v>
      </c>
      <c r="I103" s="25">
        <v>5531.85</v>
      </c>
      <c r="J103" s="25">
        <v>0</v>
      </c>
      <c r="K103" s="25">
        <v>0</v>
      </c>
      <c r="L103" s="25">
        <v>0</v>
      </c>
      <c r="M103" s="25">
        <v>4497.41</v>
      </c>
      <c r="N103" s="25">
        <v>4497.41</v>
      </c>
      <c r="O103" s="25">
        <v>4505.38</v>
      </c>
    </row>
    <row r="104" spans="1:15" s="24" customFormat="1" ht="15">
      <c r="A104" s="23" t="s">
        <v>88</v>
      </c>
      <c r="B104" s="23" t="s">
        <v>27</v>
      </c>
      <c r="C104" s="23" t="s">
        <v>224</v>
      </c>
      <c r="D104" s="25">
        <v>290</v>
      </c>
      <c r="E104" s="25">
        <v>435</v>
      </c>
      <c r="F104" s="25">
        <v>230</v>
      </c>
      <c r="G104" s="25">
        <v>435</v>
      </c>
      <c r="H104" s="25">
        <v>145</v>
      </c>
      <c r="I104" s="25">
        <v>435</v>
      </c>
      <c r="J104" s="25">
        <v>290</v>
      </c>
      <c r="K104" s="25">
        <v>290</v>
      </c>
      <c r="L104" s="25">
        <v>435</v>
      </c>
      <c r="M104" s="25">
        <v>145</v>
      </c>
      <c r="N104" s="25">
        <v>290</v>
      </c>
      <c r="O104" s="25">
        <v>290</v>
      </c>
    </row>
    <row r="105" spans="1:15" s="24" customFormat="1" ht="15">
      <c r="A105" s="23" t="s">
        <v>88</v>
      </c>
      <c r="B105" s="23" t="s">
        <v>27</v>
      </c>
      <c r="C105" s="23" t="s">
        <v>225</v>
      </c>
      <c r="D105" s="25">
        <v>1883.65</v>
      </c>
      <c r="E105" s="25">
        <v>1186.5</v>
      </c>
      <c r="F105" s="25">
        <v>1565</v>
      </c>
      <c r="G105" s="25">
        <v>2050</v>
      </c>
      <c r="H105" s="25">
        <v>1336.25</v>
      </c>
      <c r="I105" s="25">
        <v>1030</v>
      </c>
      <c r="J105" s="25">
        <v>1014</v>
      </c>
      <c r="K105" s="25">
        <v>1401</v>
      </c>
      <c r="L105" s="25">
        <v>2198.37</v>
      </c>
      <c r="M105" s="25">
        <v>1621.21</v>
      </c>
      <c r="N105" s="25">
        <v>1092</v>
      </c>
      <c r="O105" s="25">
        <v>1199.66</v>
      </c>
    </row>
    <row r="106" spans="1:15" s="24" customFormat="1" ht="15">
      <c r="A106" s="23"/>
      <c r="B106" s="23"/>
      <c r="C106" s="23" t="s">
        <v>226</v>
      </c>
      <c r="D106" s="25">
        <v>7162.57</v>
      </c>
      <c r="E106" s="25">
        <v>6956.75</v>
      </c>
      <c r="F106" s="25">
        <v>6791.72</v>
      </c>
      <c r="G106" s="25">
        <v>8664.82</v>
      </c>
      <c r="H106" s="25">
        <v>8599.79</v>
      </c>
      <c r="I106" s="25">
        <v>7319.37</v>
      </c>
      <c r="J106" s="25">
        <v>2148.14</v>
      </c>
      <c r="K106" s="25">
        <v>1691</v>
      </c>
      <c r="L106" s="25">
        <v>3178.64</v>
      </c>
      <c r="M106" s="25">
        <v>6749.84</v>
      </c>
      <c r="N106" s="25">
        <v>6014.6</v>
      </c>
      <c r="O106" s="25">
        <v>6700.29</v>
      </c>
    </row>
    <row r="107" spans="1:15" s="19" customFormat="1" ht="15">
      <c r="A107" s="18"/>
      <c r="B107" s="18"/>
      <c r="C107" s="18" t="s">
        <v>227</v>
      </c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</row>
    <row r="108" spans="1:15" s="24" customFormat="1" ht="15">
      <c r="A108" s="23" t="s">
        <v>93</v>
      </c>
      <c r="B108" s="23" t="s">
        <v>32</v>
      </c>
      <c r="C108" s="23" t="s">
        <v>228</v>
      </c>
      <c r="D108" s="25">
        <v>14985.75</v>
      </c>
      <c r="E108" s="25">
        <v>15156.15</v>
      </c>
      <c r="F108" s="25">
        <v>15156.15</v>
      </c>
      <c r="G108" s="25">
        <v>15156.15</v>
      </c>
      <c r="H108" s="25">
        <v>15156.15</v>
      </c>
      <c r="I108" s="25">
        <v>15888.24</v>
      </c>
      <c r="J108" s="25">
        <v>15547.35</v>
      </c>
      <c r="K108" s="25">
        <v>15547.42</v>
      </c>
      <c r="L108" s="25">
        <v>15547.35</v>
      </c>
      <c r="M108" s="25">
        <v>15547.35</v>
      </c>
      <c r="N108" s="25">
        <v>15522.35</v>
      </c>
      <c r="O108" s="25">
        <v>15990.84</v>
      </c>
    </row>
    <row r="109" spans="1:15" s="24" customFormat="1" ht="15">
      <c r="A109" s="23" t="s">
        <v>93</v>
      </c>
      <c r="B109" s="23" t="s">
        <v>32</v>
      </c>
      <c r="C109" s="23" t="s">
        <v>229</v>
      </c>
      <c r="D109" s="25">
        <v>65.31</v>
      </c>
      <c r="E109" s="25">
        <v>0</v>
      </c>
      <c r="F109" s="25">
        <v>117.88</v>
      </c>
      <c r="G109" s="25">
        <v>116.51</v>
      </c>
      <c r="H109" s="25">
        <v>2385.21</v>
      </c>
      <c r="I109" s="25">
        <v>1811.56</v>
      </c>
      <c r="J109" s="25">
        <v>2077.38</v>
      </c>
      <c r="K109" s="25">
        <v>2398.29</v>
      </c>
      <c r="L109" s="25">
        <v>2532.61</v>
      </c>
      <c r="M109" s="25">
        <v>2139.71</v>
      </c>
      <c r="N109" s="25">
        <v>1997.68</v>
      </c>
      <c r="O109" s="25">
        <v>1764.32</v>
      </c>
    </row>
    <row r="110" spans="1:15" s="24" customFormat="1" ht="15">
      <c r="A110" s="23" t="s">
        <v>93</v>
      </c>
      <c r="B110" s="23" t="s">
        <v>32</v>
      </c>
      <c r="C110" s="23" t="s">
        <v>230</v>
      </c>
      <c r="D110" s="25">
        <v>861.65</v>
      </c>
      <c r="E110" s="25">
        <v>1443.22</v>
      </c>
      <c r="F110" s="25">
        <v>1789.17</v>
      </c>
      <c r="G110" s="25">
        <v>1111.71</v>
      </c>
      <c r="H110" s="25">
        <v>970.51</v>
      </c>
      <c r="I110" s="25">
        <v>715.32</v>
      </c>
      <c r="J110" s="25">
        <v>463.6</v>
      </c>
      <c r="K110" s="25">
        <v>330.89</v>
      </c>
      <c r="L110" s="25">
        <v>364.13</v>
      </c>
      <c r="M110" s="25">
        <v>474.02</v>
      </c>
      <c r="N110" s="25">
        <v>537.11</v>
      </c>
      <c r="O110" s="25">
        <v>776.56</v>
      </c>
    </row>
    <row r="111" spans="1:15" s="24" customFormat="1" ht="15">
      <c r="A111" s="23" t="s">
        <v>93</v>
      </c>
      <c r="B111" s="23" t="s">
        <v>32</v>
      </c>
      <c r="C111" s="23" t="s">
        <v>231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  <c r="I111" s="25">
        <v>0</v>
      </c>
      <c r="J111" s="25">
        <v>0</v>
      </c>
      <c r="K111" s="25">
        <v>3879.55</v>
      </c>
      <c r="L111" s="25">
        <v>1791.46</v>
      </c>
      <c r="M111" s="25">
        <v>1212.05</v>
      </c>
      <c r="N111" s="25">
        <v>0</v>
      </c>
      <c r="O111" s="25">
        <v>1000.45</v>
      </c>
    </row>
    <row r="112" spans="1:15" s="24" customFormat="1" ht="15">
      <c r="A112" s="23" t="s">
        <v>93</v>
      </c>
      <c r="B112" s="23" t="s">
        <v>32</v>
      </c>
      <c r="C112" s="23" t="s">
        <v>232</v>
      </c>
      <c r="D112" s="25">
        <v>233.99</v>
      </c>
      <c r="E112" s="25">
        <v>149.25</v>
      </c>
      <c r="F112" s="25">
        <v>173.49</v>
      </c>
      <c r="G112" s="25">
        <v>96.54</v>
      </c>
      <c r="H112" s="25">
        <v>188.17</v>
      </c>
      <c r="I112" s="25">
        <v>241.39</v>
      </c>
      <c r="J112" s="25">
        <v>205.08</v>
      </c>
      <c r="K112" s="25">
        <v>649.37</v>
      </c>
      <c r="L112" s="25">
        <v>575.38</v>
      </c>
      <c r="M112" s="25">
        <v>1456.79</v>
      </c>
      <c r="N112" s="25">
        <v>240.36</v>
      </c>
      <c r="O112" s="25">
        <v>811.89</v>
      </c>
    </row>
    <row r="113" spans="1:15" s="24" customFormat="1" ht="15">
      <c r="A113" s="23" t="s">
        <v>88</v>
      </c>
      <c r="B113" s="23" t="s">
        <v>27</v>
      </c>
      <c r="C113" s="23" t="s">
        <v>233</v>
      </c>
      <c r="D113" s="25">
        <v>4257.52</v>
      </c>
      <c r="E113" s="25">
        <v>4137.52</v>
      </c>
      <c r="F113" s="25">
        <v>4137.52</v>
      </c>
      <c r="G113" s="25">
        <v>4137.52</v>
      </c>
      <c r="H113" s="25">
        <v>4157.52</v>
      </c>
      <c r="I113" s="25">
        <v>4137.52</v>
      </c>
      <c r="J113" s="25">
        <v>4137.52</v>
      </c>
      <c r="K113" s="25">
        <v>4137.52</v>
      </c>
      <c r="L113" s="25">
        <v>4157.52</v>
      </c>
      <c r="M113" s="25">
        <v>4257.52</v>
      </c>
      <c r="N113" s="25">
        <v>4208.67</v>
      </c>
      <c r="O113" s="25">
        <v>0</v>
      </c>
    </row>
    <row r="114" spans="1:15" s="24" customFormat="1" ht="15">
      <c r="A114" s="23" t="s">
        <v>88</v>
      </c>
      <c r="B114" s="23" t="s">
        <v>27</v>
      </c>
      <c r="C114" s="23" t="s">
        <v>234</v>
      </c>
      <c r="D114" s="25">
        <v>3062.4</v>
      </c>
      <c r="E114" s="25">
        <v>3062.4</v>
      </c>
      <c r="F114" s="25">
        <v>3062.4</v>
      </c>
      <c r="G114" s="25">
        <v>3062.4</v>
      </c>
      <c r="H114" s="25">
        <v>3062.4</v>
      </c>
      <c r="I114" s="25">
        <v>0</v>
      </c>
      <c r="J114" s="25">
        <v>0</v>
      </c>
      <c r="K114" s="25">
        <v>0</v>
      </c>
      <c r="L114" s="25">
        <v>0</v>
      </c>
      <c r="M114" s="25">
        <v>0</v>
      </c>
      <c r="N114" s="25">
        <v>0</v>
      </c>
      <c r="O114" s="25">
        <v>0</v>
      </c>
    </row>
    <row r="115" spans="1:15" s="24" customFormat="1" ht="15">
      <c r="A115" s="23" t="s">
        <v>92</v>
      </c>
      <c r="B115" s="23" t="s">
        <v>31</v>
      </c>
      <c r="C115" s="23" t="s">
        <v>235</v>
      </c>
      <c r="D115" s="25">
        <v>20791.94</v>
      </c>
      <c r="E115" s="25">
        <v>18504.01</v>
      </c>
      <c r="F115" s="25">
        <v>19793.26</v>
      </c>
      <c r="G115" s="25">
        <v>18523.92</v>
      </c>
      <c r="H115" s="25">
        <v>18793.06</v>
      </c>
      <c r="I115" s="25">
        <v>18702.15</v>
      </c>
      <c r="J115" s="25">
        <v>18858.89</v>
      </c>
      <c r="K115" s="25">
        <v>18636.14</v>
      </c>
      <c r="L115" s="25">
        <v>18890.38</v>
      </c>
      <c r="M115" s="25">
        <v>19889.03</v>
      </c>
      <c r="N115" s="25">
        <v>19736.58</v>
      </c>
      <c r="O115" s="25">
        <v>19806.26</v>
      </c>
    </row>
    <row r="116" spans="1:15" s="24" customFormat="1" ht="15">
      <c r="A116" s="23" t="s">
        <v>94</v>
      </c>
      <c r="B116" s="23" t="s">
        <v>33</v>
      </c>
      <c r="C116" s="23" t="s">
        <v>236</v>
      </c>
      <c r="D116" s="25">
        <v>1914.4</v>
      </c>
      <c r="E116" s="25">
        <v>2522.2</v>
      </c>
      <c r="F116" s="25">
        <v>2568.76</v>
      </c>
      <c r="G116" s="25">
        <v>1934.72</v>
      </c>
      <c r="H116" s="25">
        <v>1984.86</v>
      </c>
      <c r="I116" s="25">
        <v>2195.96</v>
      </c>
      <c r="J116" s="25">
        <v>2124.86</v>
      </c>
      <c r="K116" s="25">
        <v>1647.84</v>
      </c>
      <c r="L116" s="25">
        <v>1870.96</v>
      </c>
      <c r="M116" s="25">
        <v>1622.06</v>
      </c>
      <c r="N116" s="25">
        <v>1607.7</v>
      </c>
      <c r="O116" s="25">
        <v>1989.4</v>
      </c>
    </row>
    <row r="117" spans="1:15" s="24" customFormat="1" ht="15">
      <c r="A117" s="23"/>
      <c r="B117" s="23"/>
      <c r="C117" s="23" t="s">
        <v>237</v>
      </c>
      <c r="D117" s="25">
        <v>46172.96</v>
      </c>
      <c r="E117" s="25">
        <v>44974.75</v>
      </c>
      <c r="F117" s="25">
        <v>46798.63</v>
      </c>
      <c r="G117" s="25">
        <v>44139.47</v>
      </c>
      <c r="H117" s="25">
        <v>46697.88</v>
      </c>
      <c r="I117" s="25">
        <v>43692.14</v>
      </c>
      <c r="J117" s="25">
        <v>43414.68</v>
      </c>
      <c r="K117" s="25">
        <v>47227.02</v>
      </c>
      <c r="L117" s="25">
        <v>45729.79</v>
      </c>
      <c r="M117" s="25">
        <v>46598.53</v>
      </c>
      <c r="N117" s="25">
        <v>43850.45</v>
      </c>
      <c r="O117" s="25">
        <v>42139.72</v>
      </c>
    </row>
    <row r="118" spans="1:15" s="19" customFormat="1" ht="15">
      <c r="A118" s="18"/>
      <c r="B118" s="18"/>
      <c r="C118" s="18" t="s">
        <v>238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</row>
    <row r="119" spans="1:15" s="24" customFormat="1" ht="15">
      <c r="A119" s="23" t="s">
        <v>95</v>
      </c>
      <c r="B119" s="23" t="s">
        <v>34</v>
      </c>
      <c r="C119" s="23" t="s">
        <v>239</v>
      </c>
      <c r="D119" s="25">
        <v>10347.31</v>
      </c>
      <c r="E119" s="25">
        <v>11138.53</v>
      </c>
      <c r="F119" s="25">
        <v>9921.44</v>
      </c>
      <c r="G119" s="25">
        <v>9878.14</v>
      </c>
      <c r="H119" s="25">
        <v>10063.21</v>
      </c>
      <c r="I119" s="25">
        <v>9816.04</v>
      </c>
      <c r="J119" s="25">
        <v>10371.87</v>
      </c>
      <c r="K119" s="25">
        <v>12148.53</v>
      </c>
      <c r="L119" s="25">
        <v>11725.23</v>
      </c>
      <c r="M119" s="25">
        <v>11660.28</v>
      </c>
      <c r="N119" s="25">
        <v>11518.83</v>
      </c>
      <c r="O119" s="25">
        <v>11478.87</v>
      </c>
    </row>
    <row r="120" spans="1:15" s="24" customFormat="1" ht="15">
      <c r="A120" s="23"/>
      <c r="B120" s="23"/>
      <c r="C120" s="23" t="s">
        <v>240</v>
      </c>
      <c r="D120" s="25">
        <v>10347.31</v>
      </c>
      <c r="E120" s="25">
        <v>11138.53</v>
      </c>
      <c r="F120" s="25">
        <v>9921.44</v>
      </c>
      <c r="G120" s="25">
        <v>9878.14</v>
      </c>
      <c r="H120" s="25">
        <v>10063.21</v>
      </c>
      <c r="I120" s="25">
        <v>9816.04</v>
      </c>
      <c r="J120" s="25">
        <v>10371.87</v>
      </c>
      <c r="K120" s="25">
        <v>12148.53</v>
      </c>
      <c r="L120" s="25">
        <v>11725.23</v>
      </c>
      <c r="M120" s="25">
        <v>11660.28</v>
      </c>
      <c r="N120" s="25">
        <v>11518.83</v>
      </c>
      <c r="O120" s="25">
        <v>11478.87</v>
      </c>
    </row>
    <row r="121" spans="1:15" s="24" customFormat="1" ht="15">
      <c r="A121" s="23" t="s">
        <v>93</v>
      </c>
      <c r="B121" s="23" t="s">
        <v>32</v>
      </c>
      <c r="C121" s="23" t="s">
        <v>241</v>
      </c>
      <c r="D121" s="25">
        <v>1684.86</v>
      </c>
      <c r="E121" s="25">
        <v>2283.79</v>
      </c>
      <c r="F121" s="25">
        <v>2483.78</v>
      </c>
      <c r="G121" s="25">
        <v>2354.98</v>
      </c>
      <c r="H121" s="25">
        <v>0</v>
      </c>
      <c r="I121" s="25">
        <v>0</v>
      </c>
      <c r="J121" s="25">
        <v>0</v>
      </c>
      <c r="K121" s="25">
        <v>0</v>
      </c>
      <c r="L121" s="25">
        <v>0</v>
      </c>
      <c r="M121" s="25">
        <v>0</v>
      </c>
      <c r="N121" s="25">
        <v>0</v>
      </c>
      <c r="O121" s="25">
        <v>0</v>
      </c>
    </row>
    <row r="122" spans="1:15" s="24" customFormat="1" ht="15">
      <c r="A122" s="23" t="s">
        <v>93</v>
      </c>
      <c r="B122" s="23" t="s">
        <v>32</v>
      </c>
      <c r="C122" s="23" t="s">
        <v>242</v>
      </c>
      <c r="D122" s="25">
        <v>412.23</v>
      </c>
      <c r="E122" s="25">
        <v>233.5</v>
      </c>
      <c r="F122" s="25">
        <v>214.84</v>
      </c>
      <c r="G122" s="25">
        <v>266.3</v>
      </c>
      <c r="H122" s="25">
        <v>543.47</v>
      </c>
      <c r="I122" s="25">
        <v>1603.79</v>
      </c>
      <c r="J122" s="25">
        <v>0</v>
      </c>
      <c r="K122" s="25">
        <v>0</v>
      </c>
      <c r="L122" s="25">
        <v>0</v>
      </c>
      <c r="M122" s="25">
        <v>0</v>
      </c>
      <c r="N122" s="25">
        <v>0</v>
      </c>
      <c r="O122" s="25">
        <v>0</v>
      </c>
    </row>
    <row r="123" spans="1:15" s="19" customFormat="1" ht="15">
      <c r="A123" s="18"/>
      <c r="B123" s="18"/>
      <c r="C123" s="18" t="s">
        <v>243</v>
      </c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</row>
    <row r="124" spans="1:15" s="24" customFormat="1" ht="15">
      <c r="A124" s="23" t="s">
        <v>97</v>
      </c>
      <c r="B124" s="23" t="s">
        <v>36</v>
      </c>
      <c r="C124" s="23" t="s">
        <v>244</v>
      </c>
      <c r="D124" s="25">
        <v>0</v>
      </c>
      <c r="E124" s="25">
        <v>0</v>
      </c>
      <c r="F124" s="25">
        <v>0</v>
      </c>
      <c r="G124" s="25">
        <v>0</v>
      </c>
      <c r="H124" s="25">
        <v>293799.55</v>
      </c>
      <c r="I124" s="25">
        <v>0</v>
      </c>
      <c r="J124" s="25">
        <v>0</v>
      </c>
      <c r="K124" s="25">
        <v>0</v>
      </c>
      <c r="L124" s="25">
        <v>0</v>
      </c>
      <c r="M124" s="25">
        <v>0</v>
      </c>
      <c r="N124" s="25">
        <v>0</v>
      </c>
      <c r="O124" s="25">
        <v>0</v>
      </c>
    </row>
    <row r="125" spans="1:15" s="24" customFormat="1" ht="15">
      <c r="A125" s="23" t="s">
        <v>96</v>
      </c>
      <c r="B125" s="23" t="s">
        <v>35</v>
      </c>
      <c r="C125" s="23" t="s">
        <v>245</v>
      </c>
      <c r="D125" s="25">
        <v>0</v>
      </c>
      <c r="E125" s="25">
        <v>0</v>
      </c>
      <c r="F125" s="25">
        <v>0</v>
      </c>
      <c r="G125" s="25">
        <v>0</v>
      </c>
      <c r="H125" s="25">
        <v>59440</v>
      </c>
      <c r="I125" s="25">
        <v>0</v>
      </c>
      <c r="J125" s="25">
        <v>0</v>
      </c>
      <c r="K125" s="25">
        <v>0</v>
      </c>
      <c r="L125" s="25">
        <v>0</v>
      </c>
      <c r="M125" s="25">
        <v>-2264</v>
      </c>
      <c r="N125" s="25">
        <v>2264</v>
      </c>
      <c r="O125" s="25">
        <v>0</v>
      </c>
    </row>
    <row r="126" spans="1:15" s="24" customFormat="1" ht="15">
      <c r="A126" s="23"/>
      <c r="B126" s="23"/>
      <c r="C126" s="23" t="s">
        <v>246</v>
      </c>
      <c r="D126" s="25">
        <v>0</v>
      </c>
      <c r="E126" s="25">
        <v>0</v>
      </c>
      <c r="F126" s="25">
        <v>0</v>
      </c>
      <c r="G126" s="25">
        <v>0</v>
      </c>
      <c r="H126" s="25">
        <v>353239.55</v>
      </c>
      <c r="I126" s="25">
        <v>0</v>
      </c>
      <c r="J126" s="25">
        <v>0</v>
      </c>
      <c r="K126" s="25">
        <v>0</v>
      </c>
      <c r="L126" s="25">
        <v>0</v>
      </c>
      <c r="M126" s="25">
        <v>-2264</v>
      </c>
      <c r="N126" s="25">
        <v>2264</v>
      </c>
      <c r="O126" s="25">
        <v>0</v>
      </c>
    </row>
    <row r="127" spans="1:15" s="24" customFormat="1" ht="15">
      <c r="A127" s="23"/>
      <c r="B127" s="23"/>
      <c r="C127" s="23" t="s">
        <v>247</v>
      </c>
      <c r="D127" s="25">
        <v>125636.65</v>
      </c>
      <c r="E127" s="25">
        <v>146505.43</v>
      </c>
      <c r="F127" s="25">
        <v>130334.72</v>
      </c>
      <c r="G127" s="25">
        <v>129475.23</v>
      </c>
      <c r="H127" s="25">
        <v>487294.95</v>
      </c>
      <c r="I127" s="25">
        <v>127950.34</v>
      </c>
      <c r="J127" s="25">
        <v>109935.95</v>
      </c>
      <c r="K127" s="25">
        <v>112139.02</v>
      </c>
      <c r="L127" s="25">
        <v>118338.5</v>
      </c>
      <c r="M127" s="25">
        <v>115189.33</v>
      </c>
      <c r="N127" s="25">
        <v>122944.89</v>
      </c>
      <c r="O127" s="25">
        <v>115898.76</v>
      </c>
    </row>
    <row r="128" spans="1:15" s="27" customFormat="1" ht="15">
      <c r="A128" s="26"/>
      <c r="B128" s="26"/>
      <c r="C128" s="26" t="s">
        <v>248</v>
      </c>
      <c r="D128" s="28">
        <v>304127.31</v>
      </c>
      <c r="E128" s="28">
        <v>260014.62</v>
      </c>
      <c r="F128" s="28">
        <v>280017.43</v>
      </c>
      <c r="G128" s="28">
        <v>273185.09</v>
      </c>
      <c r="H128" s="28">
        <v>-74329.15</v>
      </c>
      <c r="I128" s="28">
        <v>273223.87</v>
      </c>
      <c r="J128" s="28">
        <v>295635.68</v>
      </c>
      <c r="K128" s="28">
        <v>298676.45</v>
      </c>
      <c r="L128" s="28">
        <v>281444.75</v>
      </c>
      <c r="M128" s="28">
        <v>280871.5</v>
      </c>
      <c r="N128" s="28">
        <v>268385.24</v>
      </c>
      <c r="O128" s="28">
        <v>267497.36</v>
      </c>
    </row>
    <row r="129" spans="1:15" s="19" customFormat="1" ht="15">
      <c r="A129" s="18"/>
      <c r="B129" s="18"/>
      <c r="C129" s="18" t="s">
        <v>249</v>
      </c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</row>
    <row r="130" spans="1:15" s="19" customFormat="1" ht="15">
      <c r="A130" s="18"/>
      <c r="B130" s="18"/>
      <c r="C130" s="18" t="s">
        <v>250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</row>
    <row r="131" spans="1:15" s="24" customFormat="1" ht="15">
      <c r="A131" s="23"/>
      <c r="B131" s="23"/>
      <c r="C131" s="23" t="s">
        <v>251</v>
      </c>
      <c r="D131" s="25">
        <v>110.68</v>
      </c>
      <c r="E131" s="25">
        <v>119.33</v>
      </c>
      <c r="F131" s="25">
        <v>125.11</v>
      </c>
      <c r="G131" s="25">
        <v>123.17</v>
      </c>
      <c r="H131" s="25">
        <v>132</v>
      </c>
      <c r="I131" s="25">
        <v>131.94</v>
      </c>
      <c r="J131" s="25">
        <v>163.33</v>
      </c>
      <c r="K131" s="25">
        <v>221.43</v>
      </c>
      <c r="L131" s="25">
        <v>203.65</v>
      </c>
      <c r="M131" s="25">
        <v>281.16</v>
      </c>
      <c r="N131" s="25">
        <v>236.19</v>
      </c>
      <c r="O131" s="25">
        <v>167.92</v>
      </c>
    </row>
    <row r="132" spans="1:15" s="24" customFormat="1" ht="15">
      <c r="A132" s="23"/>
      <c r="B132" s="23"/>
      <c r="C132" s="23" t="s">
        <v>252</v>
      </c>
      <c r="D132" s="25">
        <v>110.68</v>
      </c>
      <c r="E132" s="25">
        <v>119.33</v>
      </c>
      <c r="F132" s="25">
        <v>125.11</v>
      </c>
      <c r="G132" s="25">
        <v>123.17</v>
      </c>
      <c r="H132" s="25">
        <v>132</v>
      </c>
      <c r="I132" s="25">
        <v>131.94</v>
      </c>
      <c r="J132" s="25">
        <v>163.33</v>
      </c>
      <c r="K132" s="25">
        <v>221.43</v>
      </c>
      <c r="L132" s="25">
        <v>203.65</v>
      </c>
      <c r="M132" s="25">
        <v>281.16</v>
      </c>
      <c r="N132" s="25">
        <v>236.19</v>
      </c>
      <c r="O132" s="25">
        <v>167.92</v>
      </c>
    </row>
    <row r="133" spans="1:15" s="24" customFormat="1" ht="15">
      <c r="A133" s="23"/>
      <c r="B133" s="23"/>
      <c r="C133" s="23" t="s">
        <v>253</v>
      </c>
      <c r="D133" s="25">
        <v>110.68</v>
      </c>
      <c r="E133" s="25">
        <v>119.33</v>
      </c>
      <c r="F133" s="25">
        <v>125.11</v>
      </c>
      <c r="G133" s="25">
        <v>123.17</v>
      </c>
      <c r="H133" s="25">
        <v>132</v>
      </c>
      <c r="I133" s="25">
        <v>131.94</v>
      </c>
      <c r="J133" s="25">
        <v>163.33</v>
      </c>
      <c r="K133" s="25">
        <v>221.43</v>
      </c>
      <c r="L133" s="25">
        <v>203.65</v>
      </c>
      <c r="M133" s="25">
        <v>281.16</v>
      </c>
      <c r="N133" s="25">
        <v>236.19</v>
      </c>
      <c r="O133" s="25">
        <v>167.92</v>
      </c>
    </row>
    <row r="134" spans="1:15" s="19" customFormat="1" ht="15">
      <c r="A134" s="18"/>
      <c r="B134" s="18"/>
      <c r="C134" s="18" t="s">
        <v>254</v>
      </c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</row>
    <row r="135" spans="1:15" s="19" customFormat="1" ht="15">
      <c r="A135" s="18"/>
      <c r="B135" s="18"/>
      <c r="C135" s="18" t="s">
        <v>255</v>
      </c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</row>
    <row r="136" spans="1:15" s="24" customFormat="1" ht="15">
      <c r="A136" s="23"/>
      <c r="B136" s="23"/>
      <c r="C136" s="23" t="s">
        <v>256</v>
      </c>
      <c r="D136" s="25">
        <v>4061.63</v>
      </c>
      <c r="E136" s="25">
        <v>4298.75</v>
      </c>
      <c r="F136" s="25">
        <v>4066.39</v>
      </c>
      <c r="G136" s="25">
        <v>4104.77</v>
      </c>
      <c r="H136" s="25">
        <v>4027.83</v>
      </c>
      <c r="I136" s="25">
        <v>4130.98</v>
      </c>
      <c r="J136" s="25">
        <v>4013.06</v>
      </c>
      <c r="K136" s="25">
        <v>4057.35</v>
      </c>
      <c r="L136" s="25">
        <v>4108.15</v>
      </c>
      <c r="M136" s="25">
        <v>3997.83</v>
      </c>
      <c r="N136" s="25">
        <v>3960.61</v>
      </c>
      <c r="O136" s="25">
        <v>3913.3</v>
      </c>
    </row>
    <row r="137" spans="1:15" s="24" customFormat="1" ht="15">
      <c r="A137" s="23"/>
      <c r="B137" s="23"/>
      <c r="C137" s="23" t="s">
        <v>257</v>
      </c>
      <c r="D137" s="25">
        <v>4061.63</v>
      </c>
      <c r="E137" s="25">
        <v>4298.75</v>
      </c>
      <c r="F137" s="25">
        <v>4066.39</v>
      </c>
      <c r="G137" s="25">
        <v>4104.77</v>
      </c>
      <c r="H137" s="25">
        <v>4027.83</v>
      </c>
      <c r="I137" s="25">
        <v>4130.98</v>
      </c>
      <c r="J137" s="25">
        <v>4013.06</v>
      </c>
      <c r="K137" s="25">
        <v>4057.35</v>
      </c>
      <c r="L137" s="25">
        <v>4108.15</v>
      </c>
      <c r="M137" s="25">
        <v>3997.83</v>
      </c>
      <c r="N137" s="25">
        <v>3960.61</v>
      </c>
      <c r="O137" s="25">
        <v>3913.3</v>
      </c>
    </row>
    <row r="138" spans="1:15" s="19" customFormat="1" ht="15">
      <c r="A138" s="18"/>
      <c r="B138" s="18"/>
      <c r="C138" s="18" t="s">
        <v>258</v>
      </c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</row>
    <row r="139" spans="1:15" s="24" customFormat="1" ht="15">
      <c r="A139" s="23"/>
      <c r="B139" s="23"/>
      <c r="C139" s="23" t="s">
        <v>259</v>
      </c>
      <c r="D139" s="25">
        <v>0</v>
      </c>
      <c r="E139" s="25">
        <v>0</v>
      </c>
      <c r="F139" s="25">
        <v>0</v>
      </c>
      <c r="G139" s="25">
        <v>3148.18</v>
      </c>
      <c r="H139" s="25">
        <v>0</v>
      </c>
      <c r="I139" s="25">
        <v>0</v>
      </c>
      <c r="J139" s="25">
        <v>0</v>
      </c>
      <c r="K139" s="25">
        <v>0</v>
      </c>
      <c r="L139" s="25">
        <v>6262.64</v>
      </c>
      <c r="M139" s="25">
        <v>0</v>
      </c>
      <c r="N139" s="25">
        <v>0</v>
      </c>
      <c r="O139" s="25">
        <v>0</v>
      </c>
    </row>
    <row r="140" spans="1:15" s="24" customFormat="1" ht="15">
      <c r="A140" s="23"/>
      <c r="B140" s="23"/>
      <c r="C140" s="23" t="s">
        <v>260</v>
      </c>
      <c r="D140" s="25">
        <v>0</v>
      </c>
      <c r="E140" s="25">
        <v>0</v>
      </c>
      <c r="F140" s="25">
        <v>0</v>
      </c>
      <c r="G140" s="25">
        <v>3148.18</v>
      </c>
      <c r="H140" s="25">
        <v>0</v>
      </c>
      <c r="I140" s="25">
        <v>0</v>
      </c>
      <c r="J140" s="25">
        <v>0</v>
      </c>
      <c r="K140" s="25">
        <v>0</v>
      </c>
      <c r="L140" s="25">
        <v>6262.64</v>
      </c>
      <c r="M140" s="25">
        <v>0</v>
      </c>
      <c r="N140" s="25">
        <v>0</v>
      </c>
      <c r="O140" s="25">
        <v>0</v>
      </c>
    </row>
    <row r="141" spans="1:15" s="19" customFormat="1" ht="15">
      <c r="A141" s="18"/>
      <c r="B141" s="18"/>
      <c r="C141" s="18" t="s">
        <v>261</v>
      </c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</row>
    <row r="142" spans="1:15" s="24" customFormat="1" ht="15">
      <c r="A142" s="23"/>
      <c r="B142" s="23"/>
      <c r="C142" s="23" t="s">
        <v>262</v>
      </c>
      <c r="D142" s="25">
        <v>157427.12</v>
      </c>
      <c r="E142" s="25">
        <v>157190.28</v>
      </c>
      <c r="F142" s="25">
        <v>156952.58</v>
      </c>
      <c r="G142" s="25">
        <v>156714.01</v>
      </c>
      <c r="H142" s="25">
        <v>156474.58</v>
      </c>
      <c r="I142" s="25">
        <v>156234.26</v>
      </c>
      <c r="J142" s="25">
        <v>155993.08</v>
      </c>
      <c r="K142" s="25">
        <v>155751.01</v>
      </c>
      <c r="L142" s="25">
        <v>155508.06</v>
      </c>
      <c r="M142" s="25">
        <v>155264.21</v>
      </c>
      <c r="N142" s="25">
        <v>155019.49</v>
      </c>
      <c r="O142" s="25">
        <v>154773.87</v>
      </c>
    </row>
    <row r="143" spans="1:15" s="24" customFormat="1" ht="15">
      <c r="A143" s="23"/>
      <c r="B143" s="23"/>
      <c r="C143" s="23" t="s">
        <v>263</v>
      </c>
      <c r="D143" s="25">
        <v>157427.12</v>
      </c>
      <c r="E143" s="25">
        <v>157190.28</v>
      </c>
      <c r="F143" s="25">
        <v>156952.58</v>
      </c>
      <c r="G143" s="25">
        <v>156714.01</v>
      </c>
      <c r="H143" s="25">
        <v>156474.58</v>
      </c>
      <c r="I143" s="25">
        <v>156234.26</v>
      </c>
      <c r="J143" s="25">
        <v>155993.08</v>
      </c>
      <c r="K143" s="25">
        <v>155751.01</v>
      </c>
      <c r="L143" s="25">
        <v>155508.06</v>
      </c>
      <c r="M143" s="25">
        <v>155264.21</v>
      </c>
      <c r="N143" s="25">
        <v>155019.49</v>
      </c>
      <c r="O143" s="25">
        <v>154773.87</v>
      </c>
    </row>
    <row r="144" spans="1:15" s="19" customFormat="1" ht="15">
      <c r="A144" s="18"/>
      <c r="B144" s="18"/>
      <c r="C144" s="18" t="s">
        <v>264</v>
      </c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</row>
    <row r="145" spans="1:15" s="24" customFormat="1" ht="15">
      <c r="A145" s="23"/>
      <c r="B145" s="23"/>
      <c r="C145" s="23" t="s">
        <v>265</v>
      </c>
      <c r="D145" s="25">
        <v>0</v>
      </c>
      <c r="E145" s="25">
        <v>0</v>
      </c>
      <c r="F145" s="25">
        <v>0</v>
      </c>
      <c r="G145" s="25">
        <v>0</v>
      </c>
      <c r="H145" s="25">
        <v>0</v>
      </c>
      <c r="I145" s="25">
        <v>0</v>
      </c>
      <c r="J145" s="25">
        <v>7524</v>
      </c>
      <c r="K145" s="25">
        <v>0</v>
      </c>
      <c r="L145" s="25">
        <v>0</v>
      </c>
      <c r="M145" s="25">
        <v>0</v>
      </c>
      <c r="N145" s="25">
        <v>0</v>
      </c>
      <c r="O145" s="25">
        <v>0</v>
      </c>
    </row>
    <row r="146" spans="1:15" s="24" customFormat="1" ht="15">
      <c r="A146" s="23"/>
      <c r="B146" s="23"/>
      <c r="C146" s="23" t="s">
        <v>266</v>
      </c>
      <c r="D146" s="25">
        <v>0</v>
      </c>
      <c r="E146" s="25">
        <v>0</v>
      </c>
      <c r="F146" s="25">
        <v>0</v>
      </c>
      <c r="G146" s="25">
        <v>0</v>
      </c>
      <c r="H146" s="25">
        <v>0</v>
      </c>
      <c r="I146" s="25">
        <v>0</v>
      </c>
      <c r="J146" s="25">
        <v>7524</v>
      </c>
      <c r="K146" s="25">
        <v>0</v>
      </c>
      <c r="L146" s="25">
        <v>0</v>
      </c>
      <c r="M146" s="25">
        <v>0</v>
      </c>
      <c r="N146" s="25">
        <v>0</v>
      </c>
      <c r="O146" s="25">
        <v>0</v>
      </c>
    </row>
    <row r="147" spans="1:15" s="24" customFormat="1" ht="15">
      <c r="A147" s="23"/>
      <c r="B147" s="23"/>
      <c r="C147" s="23" t="s">
        <v>267</v>
      </c>
      <c r="D147" s="25">
        <v>161488.75</v>
      </c>
      <c r="E147" s="25">
        <v>161489.03</v>
      </c>
      <c r="F147" s="25">
        <v>161018.97</v>
      </c>
      <c r="G147" s="25">
        <v>163966.96</v>
      </c>
      <c r="H147" s="25">
        <v>513741.96</v>
      </c>
      <c r="I147" s="25">
        <v>160365.24</v>
      </c>
      <c r="J147" s="25">
        <v>167530.14</v>
      </c>
      <c r="K147" s="25">
        <v>159808.36</v>
      </c>
      <c r="L147" s="25">
        <v>165878.85</v>
      </c>
      <c r="M147" s="25">
        <v>156998.04</v>
      </c>
      <c r="N147" s="25">
        <v>161244.1</v>
      </c>
      <c r="O147" s="25">
        <v>158687.17</v>
      </c>
    </row>
    <row r="148" spans="1:15" s="24" customFormat="1" ht="15">
      <c r="A148" s="23"/>
      <c r="B148" s="23"/>
      <c r="C148" s="23" t="s">
        <v>268</v>
      </c>
      <c r="D148" s="25">
        <v>142749.24</v>
      </c>
      <c r="E148" s="25">
        <v>98644.92</v>
      </c>
      <c r="F148" s="25">
        <v>119123.57</v>
      </c>
      <c r="G148" s="25">
        <v>109341.3</v>
      </c>
      <c r="H148" s="25">
        <v>-234699.56</v>
      </c>
      <c r="I148" s="25">
        <v>112990.57</v>
      </c>
      <c r="J148" s="25">
        <v>128268.87</v>
      </c>
      <c r="K148" s="25">
        <v>139089.52</v>
      </c>
      <c r="L148" s="25">
        <v>115769.55</v>
      </c>
      <c r="M148" s="25">
        <v>121890.62</v>
      </c>
      <c r="N148" s="25">
        <v>109641.33</v>
      </c>
      <c r="O148" s="25">
        <v>108978.11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B8:B16"/>
  <sheetViews>
    <sheetView showGridLines="0" workbookViewId="0" topLeftCell="A1">
      <selection pane="topLeft" activeCell="K11" sqref="K11"/>
    </sheetView>
  </sheetViews>
  <sheetFormatPr defaultColWidth="9.14285714285714" defaultRowHeight="12.75"/>
  <sheetData>
    <row r="8" ht="12.75">
      <c r="B8" t="s">
        <v>269</v>
      </c>
    </row>
    <row r="9" ht="12.75">
      <c r="B9" s="29" t="s">
        <v>270</v>
      </c>
    </row>
    <row r="10" ht="12.75">
      <c r="B10" t="s">
        <v>271</v>
      </c>
    </row>
    <row r="12" ht="12.75">
      <c r="B12" t="s">
        <v>272</v>
      </c>
    </row>
    <row r="13" ht="12.75">
      <c r="B13" s="30" t="s">
        <v>273</v>
      </c>
    </row>
    <row r="14" ht="12.75">
      <c r="B14" s="30" t="s">
        <v>274</v>
      </c>
    </row>
    <row r="16" ht="12.75">
      <c r="B16" s="30"/>
    </row>
  </sheetData>
  <hyperlinks>
    <hyperlink ref="B9" r:id="rId1" display="support@rediq.io"/>
  </hyperlinks>
  <pageMargins left="0.7" right="0.7" top="0.75" bottom="0.75" header="0.3" footer="0.3"/>
  <pageSetup orientation="portrait" paperSize="9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